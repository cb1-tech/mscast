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mmary" sheetId="2" state="visible" r:id="rId4"/>
    <sheet name="Completion Plan" sheetId="3" state="visible" r:id="rId5"/>
    <sheet name="Matrix" sheetId="4" state="visible" r:id="rId6"/>
    <sheet name="POC Extras" sheetId="5" state="visible" r:id="rId7"/>
    <sheet name="Open Questions" sheetId="6" state="visible" r:id="rId8"/>
    <sheet name="Plan Changes" sheetId="7" state="visible" r:id="rId9"/>
  </sheets>
  <definedNames>
    <definedName function="false" hidden="true" localSheetId="2" name="_xlnm._FilterDatabase" vbProcedure="false">'Completion Plan'!$A$4:$H$45</definedName>
    <definedName function="false" hidden="true" localSheetId="3" name="_xlnm._FilterDatabase" vbProcedure="false">Matrix!$A$1:$N$98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<sst xmlns="http://schemas.openxmlformats.org/spreadsheetml/2006/main" count="1856" uniqueCount="860">
  <si>
    <t xml:space="preserve">MSCAST ERP - Requirements Traceability Matrix</t>
  </si>
  <si>
    <t xml:space="preserve">Version 1.7 · 20 Sep 2026 · every requirement implemented, verified by a 27-check automated test harness</t>
  </si>
  <si>
    <t xml:space="preserve">Source of requirements: MSCAST 'ERP_Requirement_Final.pdf' (functional pages 1-8, Accounts POV pages 9-15).</t>
  </si>
  <si>
    <t xml:space="preserve">Solution mapping: ERPNext v16.35 + India Compliance 16.9.1 + Frappe HR 16.19 + India Payroll 16.0.4 + mscast_erp 0.1.0, release v0.9.0.</t>
  </si>
  <si>
    <t xml:space="preserve">POC columns: what is actually built and loaded in the running POC (WSL / Docker, site 'frontend'), re-checked 20 Sep 2026 against the live system.</t>
  </si>
  <si>
    <t xml:space="preserve">Change in v1.7: no requirement changed status; one piece of evidence was found to be wrong. P-08 and PC-06 said a supplier bill passes through three</t>
  </si>
  <si>
    <t xml:space="preserve">separate hands. It does not have to: a director holds a role that can create a BRM, the role that certifies one and the role that marks it paid, so one</t>
  </si>
  <si>
    <t xml:space="preserve">person can carry a bill from creation to payment. A new harness check, T6g, asks that question directly and now reports it. The payment block itself is</t>
  </si>
  <si>
    <t xml:space="preserve">unaffected - no certified BRM, no payment, for anyone. Two new open questions, Q20 and Q21, put the decision to MSCAST.</t>
  </si>
  <si>
    <t xml:space="preserve">Change in v1.6: the harness went from 23 checks to 25; MSCAST Director is the approving role, not a read-only one; BRM certification and purchase-order</t>
  </si>
  <si>
    <t xml:space="preserve">approval sit with a director; the drawing register is driven by a workflow; the 'built beyond' counts were all understated; the Gemini automation is built.</t>
  </si>
  <si>
    <t xml:space="preserve">Verification: 27 automated checks - 25 pass, 2 warn, 0 fail. Both warnings are accepted positions, not defects: a director may prepare and approve a cost</t>
  </si>
  <si>
    <t xml:space="preserve">sheet or a kick-off (T6e), and may create, certify and pay a supplier bill (T6g). Both are documented in the SOPs and put to MSCAST as Q20 and Q21.</t>
  </si>
  <si>
    <t xml:space="preserve">Category legend</t>
  </si>
  <si>
    <t xml:space="preserve">Standard - works out of the box · Config - settings, roles, print formats, notifications · Custom - new forms/reports/scripts</t>
  </si>
  <si>
    <t xml:space="preserve">Integration - external device/service · External - handled outside ERP (CA, policy) · Open question - needs MSCAST clarification</t>
  </si>
  <si>
    <t xml:space="preserve">POC status legend</t>
  </si>
  <si>
    <t xml:space="preserve">Live in POC - built and demonstrated with demo data · other statuses retained for history; no requirement carries them as at v1.7</t>
  </si>
  <si>
    <t xml:space="preserve">Size legend: S ≈ ≤2 days · M ≈ 3-6 days · L ≈ 7-12 days of build/config effort.</t>
  </si>
  <si>
    <t xml:space="preserve">'In ERPens proposal' is Claude's reading of the ERPens scope document, not confirmed by ERPens.</t>
  </si>
  <si>
    <t xml:space="preserve">Sheets: Summary · Matrix (filterable) · Completion Plan · POC Extras · Open Questions · Plan Changes</t>
  </si>
  <si>
    <t xml:space="preserve">Summary</t>
  </si>
  <si>
    <t xml:space="preserve">Requirements: 97 · all live as at 20 Sep 2026 · harness 25 pass, 2 warn, 0 fail of 27 · both warnings are accepted positions (Q20, Q21)</t>
  </si>
  <si>
    <t xml:space="preserve">Effort assumptions (days per size)</t>
  </si>
  <si>
    <t xml:space="preserve">S</t>
  </si>
  <si>
    <t xml:space="preserve">Assumption: midpoint of the size band</t>
  </si>
  <si>
    <t xml:space="preserve">M</t>
  </si>
  <si>
    <t xml:space="preserve">L</t>
  </si>
  <si>
    <t xml:space="preserve">POC coverage</t>
  </si>
  <si>
    <t xml:space="preserve">POC status</t>
  </si>
  <si>
    <t xml:space="preserve">Count</t>
  </si>
  <si>
    <t xml:space="preserve">Share</t>
  </si>
  <si>
    <t xml:space="preserve">Live in POC</t>
  </si>
  <si>
    <t xml:space="preserve">Partly in POC</t>
  </si>
  <si>
    <t xml:space="preserve">Available (standard, not demoed)</t>
  </si>
  <si>
    <t xml:space="preserve">Not in POC</t>
  </si>
  <si>
    <t xml:space="preserve">Out of POC scope</t>
  </si>
  <si>
    <t xml:space="preserve">Total</t>
  </si>
  <si>
    <t xml:space="preserve">Requirements by category group</t>
  </si>
  <si>
    <t xml:space="preserve">Category group</t>
  </si>
  <si>
    <t xml:space="preserve">Partly</t>
  </si>
  <si>
    <t xml:space="preserve">Not / n-a</t>
  </si>
  <si>
    <t xml:space="preserve">Standard</t>
  </si>
  <si>
    <t xml:space="preserve">Config</t>
  </si>
  <si>
    <t xml:space="preserve">Custom</t>
  </si>
  <si>
    <t xml:space="preserve">Integration</t>
  </si>
  <si>
    <t xml:space="preserve">External</t>
  </si>
  <si>
    <t xml:space="preserve">Open question</t>
  </si>
  <si>
    <t xml:space="preserve">Coverage vs ERPens proposal (Claude's reading)</t>
  </si>
  <si>
    <t xml:space="preserve">In ERPens proposal</t>
  </si>
  <si>
    <t xml:space="preserve">of which live in POC</t>
  </si>
  <si>
    <t xml:space="preserve">Yes</t>
  </si>
  <si>
    <t xml:space="preserve">No</t>
  </si>
  <si>
    <t xml:space="preserve">Remaining build effort (rows not yet live in the POC)</t>
  </si>
  <si>
    <t xml:space="preserve">Primary phase</t>
  </si>
  <si>
    <t xml:space="preserve">Rows</t>
  </si>
  <si>
    <t xml:space="preserve">Est. days</t>
  </si>
  <si>
    <t xml:space="preserve">P0</t>
  </si>
  <si>
    <t xml:space="preserve">P1</t>
  </si>
  <si>
    <t xml:space="preserve">P2</t>
  </si>
  <si>
    <t xml:space="preserve">P3</t>
  </si>
  <si>
    <t xml:space="preserve">P4</t>
  </si>
  <si>
    <t xml:space="preserve">P5</t>
  </si>
  <si>
    <t xml:space="preserve">Action plan to take every requirement to 'Live in POC'</t>
  </si>
  <si>
    <t xml:space="preserve">Status as at 20 Sep 2026: every requirement is live. What remains is the gap between a POC and production - opening balances, hosting, and the two segregation decisions put to MSCAST as Q20 and Q21.</t>
  </si>
  <si>
    <t xml:space="preserve">#</t>
  </si>
  <si>
    <t xml:space="preserve">Batch</t>
  </si>
  <si>
    <t xml:space="preserve">Task</t>
  </si>
  <si>
    <t xml:space="preserve">Requirement IDs</t>
  </si>
  <si>
    <t xml:space="preserve">Type</t>
  </si>
  <si>
    <t xml:space="preserve">Effort (h)</t>
  </si>
  <si>
    <t xml:space="preserve">Input needed / blocked by</t>
  </si>
  <si>
    <t xml:space="preserve">Status</t>
  </si>
  <si>
    <t xml:space="preserve">A. Demo the standard features</t>
  </si>
  <si>
    <t xml:space="preserve">Post non-project payments (utility, credit card, statutory) + petty cash account and a cash payment</t>
  </si>
  <si>
    <t xml:space="preserve">A-06, A-07</t>
  </si>
  <si>
    <t xml:space="preserve">Config + demo data</t>
  </si>
  <si>
    <t xml:space="preserve">none - can run now</t>
  </si>
  <si>
    <t xml:space="preserve">Done</t>
  </si>
  <si>
    <t xml:space="preserve">Cheque print on a real payment entry; receipt print to customer</t>
  </si>
  <si>
    <t xml:space="preserve">A-09, A-08</t>
  </si>
  <si>
    <t xml:space="preserve">Demo data</t>
  </si>
  <si>
    <t xml:space="preserve">none</t>
  </si>
  <si>
    <t xml:space="preserve">Debit note (rate difference) and credit note (sales rejection) against existing invoices</t>
  </si>
  <si>
    <t xml:space="preserve">A-11, AC-23</t>
  </si>
  <si>
    <t xml:space="preserve">Journal vouchers: foreign travel, insurance, cargo agency; landed cost voucher on the mould-tube receipt</t>
  </si>
  <si>
    <t xml:space="preserve">A-12, A-02</t>
  </si>
  <si>
    <t xml:space="preserve">Supplier credit limit + PO/contract check before credit</t>
  </si>
  <si>
    <t xml:space="preserve">A-01</t>
  </si>
  <si>
    <t xml:space="preserve">TDS 194C on a fabricator bill (tax withholding category on supplier)</t>
  </si>
  <si>
    <t xml:space="preserve">AC-22</t>
  </si>
  <si>
    <t xml:space="preserve">Chart of accounts heads for reserves, borrowings, lease liabilities; prior-period and fines/penalties accounts</t>
  </si>
  <si>
    <t xml:space="preserve">AC-09, AC-24</t>
  </si>
  <si>
    <t xml:space="preserve">Saved P&amp;L views: growth vs last year, margin % of sales; AR ageing + payment reminder on an overdue invoice</t>
  </si>
  <si>
    <t xml:space="preserve">AC-21, PR-05</t>
  </si>
  <si>
    <t xml:space="preserve">SMTP (or a test mail catcher) so the Email button, digest and scheduled reports actually send</t>
  </si>
  <si>
    <t xml:space="preserve">AC-04, AC-05</t>
  </si>
  <si>
    <t xml:space="preserve">needs a mailbox or a test SMTP account</t>
  </si>
  <si>
    <t xml:space="preserve">B. Quick custom builds</t>
  </si>
  <si>
    <t xml:space="preserve">RFQ to 3 vendors from the existing material request, then link the supplier quotations to it</t>
  </si>
  <si>
    <t xml:space="preserve">P-02</t>
  </si>
  <si>
    <t xml:space="preserve">Proforma invoice print format on Sales Order + payment request for the advance</t>
  </si>
  <si>
    <t xml:space="preserve">PC-17</t>
  </si>
  <si>
    <t xml:space="preserve">Print format</t>
  </si>
  <si>
    <t xml:space="preserve">Client claims register (custom form + print) with one settled and one open claim</t>
  </si>
  <si>
    <t xml:space="preserve">PR-07</t>
  </si>
  <si>
    <t xml:space="preserve">Custom form</t>
  </si>
  <si>
    <t xml:space="preserve">how claims are billed today (Q14)</t>
  </si>
  <si>
    <t xml:space="preserve">Intangible asset category (software) + one amortising asset; CWIP category and one asset under construction</t>
  </si>
  <si>
    <t xml:space="preserve">AC-14, AC-15</t>
  </si>
  <si>
    <t xml:space="preserve">Customer-owned asset register (custom form) for equipment held on behalf of customers</t>
  </si>
  <si>
    <t xml:space="preserve">AC-13</t>
  </si>
  <si>
    <t xml:space="preserve">what the Tata Motors assets are (Q8)</t>
  </si>
  <si>
    <t xml:space="preserve">Shareholder and share transfer records; share capital reconciliation view</t>
  </si>
  <si>
    <t xml:space="preserve">AC-08</t>
  </si>
  <si>
    <t xml:space="preserve">whether the share register stays with the CS (Q19)</t>
  </si>
  <si>
    <t xml:space="preserve">C. Finish the partly-done items</t>
  </si>
  <si>
    <t xml:space="preserve">Statutory Auditor role (read-only accounts, stock, assets, Version, Audit Trail report) + read-only Director role</t>
  </si>
  <si>
    <t xml:space="preserve">AC-01, AC-06</t>
  </si>
  <si>
    <t xml:space="preserve">MSME 45-day dues report (paid/outstanding within and beyond 45 days) for Form I, Schedule III and s.43B(h)</t>
  </si>
  <si>
    <t xml:space="preserve">AC-10</t>
  </si>
  <si>
    <t xml:space="preserve">Script report</t>
  </si>
  <si>
    <t xml:space="preserve">Retention flow: payment terms template, retention receivable tracking, supplementary invoice on release</t>
  </si>
  <si>
    <t xml:space="preserve">PC-18</t>
  </si>
  <si>
    <t xml:space="preserve">Config + script</t>
  </si>
  <si>
    <t xml:space="preserve">retention terms confirmation (Q11 / contract terms)</t>
  </si>
  <si>
    <t xml:space="preserve">SO - PCC - PO - supply invoice tracker report</t>
  </si>
  <si>
    <t xml:space="preserve">PC-19</t>
  </si>
  <si>
    <t xml:space="preserve">Project completion accounting closure report (PCC vs actual, billing, retention, claims, BG release)</t>
  </si>
  <si>
    <t xml:space="preserve">PC-14</t>
  </si>
  <si>
    <t xml:space="preserve">MIS template from MSCAST (Q3)</t>
  </si>
  <si>
    <t xml:space="preserve">Client-facing prints: project execution / delivery / billing schedule and periodic project status report</t>
  </si>
  <si>
    <t xml:space="preserve">PR-03, PR-04</t>
  </si>
  <si>
    <t xml:space="preserve">Print + report</t>
  </si>
  <si>
    <t xml:space="preserve">sample formats from MSCAST</t>
  </si>
  <si>
    <t xml:space="preserve">Kick-off checklist with mandatory attachments; customer PO vs quotation check workflow</t>
  </si>
  <si>
    <t xml:space="preserve">S-04, PC-01</t>
  </si>
  <si>
    <t xml:space="preserve">Workflow + config</t>
  </si>
  <si>
    <t xml:space="preserve">approver names</t>
  </si>
  <si>
    <t xml:space="preserve">Billing and dispatch schedule child table on the project, visible to procurement</t>
  </si>
  <si>
    <t xml:space="preserve">PC-02</t>
  </si>
  <si>
    <t xml:space="preserve">Custom field + report</t>
  </si>
  <si>
    <t xml:space="preserve">Drawing / MDF transmittal register to vendors with acknowledgement</t>
  </si>
  <si>
    <t xml:space="preserve">E-05, P-05</t>
  </si>
  <si>
    <t xml:space="preserve">Commissioning and hot-trial report form feeding the project certificate</t>
  </si>
  <si>
    <t xml:space="preserve">EC-01</t>
  </si>
  <si>
    <t xml:space="preserve">Custom form + print</t>
  </si>
  <si>
    <t xml:space="preserve">Server script: block payment entry against a supplier bill without a certified BRM</t>
  </si>
  <si>
    <t xml:space="preserve">A-05</t>
  </si>
  <si>
    <t xml:space="preserve">Server script</t>
  </si>
  <si>
    <t xml:space="preserve">Schedule III balance sheet and P&amp;L templates (this India Compliance build ships IFRS ones only)</t>
  </si>
  <si>
    <t xml:space="preserve">A-14, AC-09</t>
  </si>
  <si>
    <t xml:space="preserve">Financial report templates</t>
  </si>
  <si>
    <t xml:space="preserve">CA confirmation of the format</t>
  </si>
  <si>
    <t xml:space="preserve">Daily COO/CFO summary: enable the digest, add a Google Chat webhook job for major-value transactions</t>
  </si>
  <si>
    <t xml:space="preserve">AC-05</t>
  </si>
  <si>
    <t xml:space="preserve">channel decision D7 (SMS vs WhatsApp vs Chat)</t>
  </si>
  <si>
    <t xml:space="preserve">Yearly archival job (database + file dump, year-end PDF/XLSX exports) and the 8-year retention SOP</t>
  </si>
  <si>
    <t xml:space="preserve">AC-06</t>
  </si>
  <si>
    <t xml:space="preserve">Script + policy</t>
  </si>
  <si>
    <t xml:space="preserve">acceptance of the archival policy (Q13)</t>
  </si>
  <si>
    <t xml:space="preserve">Gratuity rule, gratuity provision entry and deferred-tax / income-tax provision JVs</t>
  </si>
  <si>
    <t xml:space="preserve">AC-11</t>
  </si>
  <si>
    <t xml:space="preserve">gratuity valuation method (Q12)</t>
  </si>
  <si>
    <t xml:space="preserve">Spares handover checklist at project closure + installed-machine record with serial numbers</t>
  </si>
  <si>
    <t xml:space="preserve">PR-09</t>
  </si>
  <si>
    <t xml:space="preserve">spares process (Q15)</t>
  </si>
  <si>
    <t xml:space="preserve">D. Blocked on answers</t>
  </si>
  <si>
    <t xml:space="preserve">Project WIP valuation method: work order + WIP warehouse vs project WIP account and JV</t>
  </si>
  <si>
    <t xml:space="preserve">AC-17</t>
  </si>
  <si>
    <t xml:space="preserve">Design + build</t>
  </si>
  <si>
    <t xml:space="preserve">decision D6 with the CA</t>
  </si>
  <si>
    <t xml:space="preserve">Biometric / access-control attendance connector</t>
  </si>
  <si>
    <t xml:space="preserve">M-03</t>
  </si>
  <si>
    <t xml:space="preserve">device make, model and network (Q6)</t>
  </si>
  <si>
    <t xml:space="preserve">'Finance Scaling Management' - scope it once defined</t>
  </si>
  <si>
    <t xml:space="preserve">M-02</t>
  </si>
  <si>
    <t xml:space="preserve">TBD</t>
  </si>
  <si>
    <t xml:space="preserve">Q1 with MSCAST</t>
  </si>
  <si>
    <t xml:space="preserve">'GST on closing inventory' working</t>
  </si>
  <si>
    <t xml:space="preserve">AC-18</t>
  </si>
  <si>
    <t xml:space="preserve">Q9 with the CA</t>
  </si>
  <si>
    <t xml:space="preserve">AS vs Ind AS and the notes to accounts</t>
  </si>
  <si>
    <t xml:space="preserve">AC-07</t>
  </si>
  <si>
    <t xml:space="preserve">CA confirmation (Q10)</t>
  </si>
  <si>
    <t xml:space="preserve">E. Beyond the requirement list (needed before production)</t>
  </si>
  <si>
    <t xml:space="preserve">Roles and permissions per department; workflows for PCC, PO, BRM, drawing release; a non-admin demo user</t>
  </si>
  <si>
    <t xml:space="preserve">-</t>
  </si>
  <si>
    <t xml:space="preserve">org chart and approvers</t>
  </si>
  <si>
    <t xml:space="preserve">Naming series review, print format polish, email templates, letterhead sign-offs</t>
  </si>
  <si>
    <t xml:space="preserve">Not started</t>
  </si>
  <si>
    <t xml:space="preserve">Backup + restore rehearsal, monitoring, and the production VPS blueprint (compose file, domain, SSL, India region)</t>
  </si>
  <si>
    <t xml:space="preserve">Ops</t>
  </si>
  <si>
    <t xml:space="preserve">VPS decision (D1)</t>
  </si>
  <si>
    <t xml:space="preserve">Opening data migration plan from Tally (masters, open POs/SOs, stock, retention, BGs)</t>
  </si>
  <si>
    <t xml:space="preserve">Data</t>
  </si>
  <si>
    <t xml:space="preserve">Tally export from MSCAST</t>
  </si>
  <si>
    <t xml:space="preserve">Gemini automation layer: daily digest, enquiry to lead, supplier quote to draft, bill to BRM</t>
  </si>
  <si>
    <t xml:space="preserve">Automation</t>
  </si>
  <si>
    <t xml:space="preserve">Google Cloud project (D5)</t>
  </si>
  <si>
    <t xml:space="preserve">Effort by batch</t>
  </si>
  <si>
    <t xml:space="preserve">Tasks</t>
  </si>
  <si>
    <t xml:space="preserve">Hours</t>
  </si>
  <si>
    <t xml:space="preserve">Days (8 h)</t>
  </si>
  <si>
    <t xml:space="preserve">All 97 requirements implemented as at 19 Sep 2026; 23 of 23 automated checks pass.</t>
  </si>
  <si>
    <t xml:space="preserve">ID</t>
  </si>
  <si>
    <t xml:space="preserve">Area</t>
  </si>
  <si>
    <t xml:space="preserve">Requirement (MSCAST doc)</t>
  </si>
  <si>
    <t xml:space="preserve">Source page</t>
  </si>
  <si>
    <t xml:space="preserve">ERPNext v16 solution</t>
  </si>
  <si>
    <t xml:space="preserve">Category</t>
  </si>
  <si>
    <t xml:space="preserve">Phase</t>
  </si>
  <si>
    <t xml:space="preserve">Size</t>
  </si>
  <si>
    <t xml:space="preserve">POC evidence (20 Sep 2026)</t>
  </si>
  <si>
    <t xml:space="preserve">Notes / open question</t>
  </si>
  <si>
    <t xml:space="preserve">S-01</t>
  </si>
  <si>
    <t xml:space="preserve">Sales</t>
  </si>
  <si>
    <t xml:space="preserve">Prepare Sales Orders from customer orders</t>
  </si>
  <si>
    <t xml:space="preserve">p2</t>
  </si>
  <si>
    <t xml:space="preserve">ERPNext Sales Order (customer PO no./date, payment terms template)</t>
  </si>
  <si>
    <t xml:space="preserve">3 sales orders submitted with customer PO no., retention/LD/PBG fields</t>
  </si>
  <si>
    <t xml:space="preserve">S-02</t>
  </si>
  <si>
    <t xml:space="preserve">PCC sheet (Purchase Cost Calculation): cost price of each component of CCM/spares, prepared by Sales from the Sales Order</t>
  </si>
  <si>
    <t xml:space="preserve">p2, p6</t>
  </si>
  <si>
    <t xml:space="preserve">Custom 'PCC' doctype linked to Sales Order/Project: component lines, revisions + approval; baseline for PO control and project MIS</t>
  </si>
  <si>
    <t xml:space="preserve">Custom (no-code + script report)</t>
  </si>
  <si>
    <t xml:space="preserve">PCC-2026-00001 (R2, approved, 15 lines, Rs 1.82 Cr) and PCC-2026-00002 (approved). Approval is a director's — though a director may also prepare one, see T6e</t>
  </si>
  <si>
    <t xml:space="preserve">Backbone object. Need MSCAST's PCC template (Q2)</t>
  </si>
  <si>
    <t xml:space="preserve">S-03</t>
  </si>
  <si>
    <t xml:space="preserve">Order-status analysis; leads from customer enquiry or direct approach</t>
  </si>
  <si>
    <t xml:space="preserve">CRM Lead → Opportunity → Quotation; Sales Pipeline Analytics</t>
  </si>
  <si>
    <t xml:space="preserve">Lead (Gulf Aluminium), 2 Opportunities, Quotation SAL-QTN-2026-00001; order-book chart. Plus 14 bid outcomes (6 won / 6 lost with reasons)</t>
  </si>
  <si>
    <t xml:space="preserve">S-04</t>
  </si>
  <si>
    <t xml:space="preserve">Scope of work/contract and PCC handed to Engineering and Projects</t>
  </si>
  <si>
    <t xml:space="preserve">Kick-off workflow on Project; mandatory attachments and notifications</t>
  </si>
  <si>
    <t xml:space="preserve">MSCAST Project Kickoff form with the 8-point customer-PO checklist, linked PCC / SO / project. Kick-off approval is a director's</t>
  </si>
  <si>
    <t xml:space="preserve">S-05</t>
  </si>
  <si>
    <t xml:space="preserve">List of potential/probable customers for forecasting</t>
  </si>
  <si>
    <t xml:space="preserve">Leads/Opportunities with expected value and closing date</t>
  </si>
  <si>
    <t xml:space="preserve">Open lead + spares opportunity; 'Order Book by Customer' chart</t>
  </si>
  <si>
    <t xml:space="preserve">PR-01</t>
  </si>
  <si>
    <t xml:space="preserve">Projects</t>
  </si>
  <si>
    <t xml:space="preserve">Internal kick-off meeting; Projects receives PCC, signed tech specs, sales MOMs</t>
  </si>
  <si>
    <t xml:space="preserve">Project Template + kick-off checklist child table; Workflow 'Kick-off done'</t>
  </si>
  <si>
    <t xml:space="preserve">Project kick-off task completed on PROJ-0001, PCC + SO linked</t>
  </si>
  <si>
    <t xml:space="preserve">PR-02</t>
  </si>
  <si>
    <t xml:space="preserve">Project planning: targets for Engineering, Procurement, Despatch, Erection &amp; Commissioning</t>
  </si>
  <si>
    <t xml:space="preserve">Project tasks, milestones, dependencies, Gantt</t>
  </si>
  <si>
    <t xml:space="preserve">Tasks across 3 projects with dates, status and progress</t>
  </si>
  <si>
    <t xml:space="preserve">PR-03</t>
  </si>
  <si>
    <t xml:space="preserve">Prepare and submit Project Execution, Delivery and Billing schedules to client/consultant</t>
  </si>
  <si>
    <t xml:space="preserve">Delivery + billing schedule child tables on Project/SO; print formats</t>
  </si>
  <si>
    <t xml:space="preserve">Config + light custom</t>
  </si>
  <si>
    <t xml:space="preserve">P1/P3</t>
  </si>
  <si>
    <t xml:space="preserve">'MSCAST Project Schedule (Client)' print - contractual milestones with live drawing, inspection, dispatch and commissioning status</t>
  </si>
  <si>
    <t xml:space="preserve">PR-04</t>
  </si>
  <si>
    <t xml:space="preserve">Periodic 'Overall Project Status/Schedule' submission to client</t>
  </si>
  <si>
    <t xml:space="preserve">Project status print format/report</t>
  </si>
  <si>
    <t xml:space="preserve">Custom (report + print)</t>
  </si>
  <si>
    <t xml:space="preserve">'MSCAST Project Status Report' - progress bar, commercial and engineering position, open punch points</t>
  </si>
  <si>
    <t xml:space="preserve">PR-05</t>
  </si>
  <si>
    <t xml:space="preserve">Submit invoices and follow up receivables from client</t>
  </si>
  <si>
    <t xml:space="preserve">Accounts Receivable, Payment Reminder/Dunning, Notification before due date</t>
  </si>
  <si>
    <t xml:space="preserve">Payment request + AR ageing + overdue notification</t>
  </si>
  <si>
    <t xml:space="preserve">PR-06</t>
  </si>
  <si>
    <t xml:space="preserve">Project completion: completeness of supplies</t>
  </si>
  <si>
    <t xml:space="preserve">p3</t>
  </si>
  <si>
    <t xml:space="preserve">Sales Order Analysis (ordered vs delivered), SO–DN tracking</t>
  </si>
  <si>
    <t xml:space="preserve">MSCAST Dispatch Schedule shows ordered vs delivered vs pending</t>
  </si>
  <si>
    <t xml:space="preserve">Additional claims discussion and settlement with client</t>
  </si>
  <si>
    <t xml:space="preserve">Custom 'Client Claim' doctype → amended SO / additional invoice</t>
  </si>
  <si>
    <t xml:space="preserve">Custom (no-code)</t>
  </si>
  <si>
    <t xml:space="preserve">Client Claim register + print; CLM-2026-00001 (Rs 6.85 L scope variation, agreed Rs 6.40 L) and CLM-2026-00002 (idle time, settled by supplementary invoice)</t>
  </si>
  <si>
    <t xml:space="preserve">How are claims billed today? (Q14)</t>
  </si>
  <si>
    <t xml:space="preserve">PR-08</t>
  </si>
  <si>
    <t xml:space="preserve">Obtain Commissioning, Preliminary and Final certificates from client</t>
  </si>
  <si>
    <t xml:space="preserve">p3, p6</t>
  </si>
  <si>
    <t xml:space="preserve">Custom 'Project Certificate' doctype; triggers milestone billing and retention clock</t>
  </si>
  <si>
    <t xml:space="preserve">Yes (completion certificate)</t>
  </si>
  <si>
    <t xml:space="preserve">Certificates across projects with retention due date + print format</t>
  </si>
  <si>
    <t xml:space="preserve">After final closure, hand over project info to Spares Dept for spares business</t>
  </si>
  <si>
    <t xml:space="preserve">Project closure checklist; installed-machine record + customer spares price list</t>
  </si>
  <si>
    <t xml:space="preserve">MSCAST Spares Handover + print. Plus the MSCAST Installed Machine register: 14 machines, 2009–2024, the basis of the spares and retrofit business</t>
  </si>
  <si>
    <t xml:space="preserve">Is Spares a separate team? (Q15)</t>
  </si>
  <si>
    <t xml:space="preserve">PC-01</t>
  </si>
  <si>
    <t xml:space="preserve">Project coordination</t>
  </si>
  <si>
    <t xml:space="preserve">Check customer PO against agreed terms; forward to Finance and Procurement</t>
  </si>
  <si>
    <t xml:space="preserve">SO approval workflow with PO-vs-quotation check; notifications</t>
  </si>
  <si>
    <t xml:space="preserve">'MSCAST Project Kick-off' workflow: Draft → PO Verified (Accounts, only when price, scope, payment terms and GST are ticked) → Kick-off Approved (director); PROJ-0002 sits in 'PO Query Raised' because the customer's payment terms differ from the offer</t>
  </si>
  <si>
    <t xml:space="preserve">Give billing and dispatch schedule to Procurement based on PCC</t>
  </si>
  <si>
    <t xml:space="preserve">Schedule child tables visible in Procurement workspace; report</t>
  </si>
  <si>
    <t xml:space="preserve">'Billing / Dispatch Schedule' child table on the Project + report, carrying the action note per milestone</t>
  </si>
  <si>
    <t xml:space="preserve">PC-03</t>
  </si>
  <si>
    <t xml:space="preserve">Check supplier POs against PCC requirement and commercial terms</t>
  </si>
  <si>
    <t xml:space="preserve">Validation + 'PO vs PCC' variance report; approval required if over PCC</t>
  </si>
  <si>
    <t xml:space="preserve">Custom (script report + server script)</t>
  </si>
  <si>
    <t xml:space="preserve">MSCAST PO vs PCC Variance report + PO PCC fields + 'PO over PCC' notification</t>
  </si>
  <si>
    <t xml:space="preserve">Depends on S-02</t>
  </si>
  <si>
    <t xml:space="preserve">PC-04</t>
  </si>
  <si>
    <t xml:space="preserve">Issue Delivery Instruction to supplier for dispatch to customer site; arrange transport</t>
  </si>
  <si>
    <t xml:space="preserve">p3, p4, p6</t>
  </si>
  <si>
    <t xml:space="preserve">Custom 'Delivery Instruction' doctype from PO/MDM</t>
  </si>
  <si>
    <t xml:space="preserve">DI-2026-00001 with consignee, transporter, LR, vehicle + print format</t>
  </si>
  <si>
    <t xml:space="preserve">PC-05</t>
  </si>
  <si>
    <t xml:space="preserve">Free-issue list dispatched with Delivery Instruction to sub-contractor</t>
  </si>
  <si>
    <t xml:space="preserve">Subcontracting supplied items / Stock Entry; Annexure-I print</t>
  </si>
  <si>
    <t xml:space="preserve">Standard + print format</t>
  </si>
  <si>
    <t xml:space="preserve">P2/P3</t>
  </si>
  <si>
    <t xml:space="preserve">Free-issue stock transfer to 'Free Issue at Vendor' + Annexure-I on the DI print</t>
  </si>
  <si>
    <t xml:space="preserve">PC-06</t>
  </si>
  <si>
    <t xml:space="preserve">Receive purchase bills, check against PO and Delivery Instruction; original to Accounts, duplicate to Purchase for BRM</t>
  </si>
  <si>
    <t xml:space="preserve">BRM register records supplier bill against PO; Purchase Invoice with certification workflow</t>
  </si>
  <si>
    <t xml:space="preserve">Custom (P2) → Standard + workflow (P4)</t>
  </si>
  <si>
    <t xml:space="preserve">P2/P4</t>
  </si>
  <si>
    <t xml:space="preserve">3 BRMs against POs. The workflow is Purchase prepares → a director certifies → Accounts marks paid. It does not follow that three people are involved: a director also holds a role that can create a BRM and the role that marks it paid (T6g)</t>
  </si>
  <si>
    <t xml:space="preserve">See P-08</t>
  </si>
  <si>
    <t xml:space="preserve">PC-07</t>
  </si>
  <si>
    <t xml:space="preserve">Prepare Sales Invoice, Delivery Challan and Packing List</t>
  </si>
  <si>
    <t xml:space="preserve">p3, p7</t>
  </si>
  <si>
    <t xml:space="preserve">Delivery Note, Packing Slip, Sales Invoice; e-way bill</t>
  </si>
  <si>
    <t xml:space="preserve">P3/P4</t>
  </si>
  <si>
    <t xml:space="preserve">6 sales invoices, 3 delivery notes; packing slip not demoed</t>
  </si>
  <si>
    <t xml:space="preserve">PC-08</t>
  </si>
  <si>
    <t xml:space="preserve">Update stock items and free-issue statement</t>
  </si>
  <si>
    <t xml:space="preserve">Stock Ledger; vendor-wise free-issue balance report</t>
  </si>
  <si>
    <t xml:space="preserve">Standard + report</t>
  </si>
  <si>
    <t xml:space="preserve">MSCAST Free Issue at Vendor report (plate + sections at vendor)</t>
  </si>
  <si>
    <t xml:space="preserve">PC-09</t>
  </si>
  <si>
    <t xml:space="preserve">Update billing &amp; despatch schedule with consignor, transporter, LR no./date, invoice no./date</t>
  </si>
  <si>
    <t xml:space="preserve">Delivery Note transporter/LR/vehicle fields + schedule-vs-actual report</t>
  </si>
  <si>
    <t xml:space="preserve">DN carries transporter, LR no./date, vehicle; dispatch schedule report</t>
  </si>
  <si>
    <t xml:space="preserve">PC-10</t>
  </si>
  <si>
    <t xml:space="preserve">Project code allocation</t>
  </si>
  <si>
    <t xml:space="preserve">Project naming series</t>
  </si>
  <si>
    <t xml:space="preserve">PROJ-0001 / 0002 / 0003</t>
  </si>
  <si>
    <t xml:space="preserve">PC-11</t>
  </si>
  <si>
    <t xml:space="preserve">Update ongoing/new and executed/closed project and Sales Order lists</t>
  </si>
  <si>
    <t xml:space="preserve">Project and Sales Order list views/reports with status filters</t>
  </si>
  <si>
    <t xml:space="preserve">List views with status filters</t>
  </si>
  <si>
    <t xml:space="preserve">PC-12</t>
  </si>
  <si>
    <t xml:space="preserve">Maintain supplier and customer information</t>
  </si>
  <si>
    <t xml:space="preserve">Customer/Supplier masters (GSTIN, PAN, MSME/Udyam, contacts, addresses)</t>
  </si>
  <si>
    <t xml:space="preserve">Standard + custom fields</t>
  </si>
  <si>
    <t xml:space="preserve">P0/P1</t>
  </si>
  <si>
    <t xml:space="preserve">13 customers, 15 suppliers with GSTIN, state, MSME type and addresses. GSTIN check digits and pincode-to-state validated on entry</t>
  </si>
  <si>
    <t xml:space="preserve">PC-13</t>
  </si>
  <si>
    <t xml:space="preserve">New Project MIS as per given template</t>
  </si>
  <si>
    <t xml:space="preserve">Custom project MIS report per MSCAST template</t>
  </si>
  <si>
    <t xml:space="preserve">Custom (script report)</t>
  </si>
  <si>
    <t xml:space="preserve">P1/P4</t>
  </si>
  <si>
    <t xml:space="preserve">MSCAST Project MIS report (contract vs PCC vs PO vs billed vs hours)</t>
  </si>
  <si>
    <t xml:space="preserve">Need MIS template (Q3)</t>
  </si>
  <si>
    <t xml:space="preserve">Project completion accounting closure reports</t>
  </si>
  <si>
    <t xml:space="preserve">Project Profitability + custom closure report</t>
  </si>
  <si>
    <t xml:space="preserve">'MSCAST Project Closure Report' with a closure verdict per project</t>
  </si>
  <si>
    <t xml:space="preserve">PC-15</t>
  </si>
  <si>
    <t xml:space="preserve">Pending Sales Order review</t>
  </si>
  <si>
    <t xml:space="preserve">Sales Order Analysis / pending items to deliver and bill</t>
  </si>
  <si>
    <t xml:space="preserve">Pending quantities in the dispatch schedule report</t>
  </si>
  <si>
    <t xml:space="preserve">PC-16</t>
  </si>
  <si>
    <t xml:space="preserve">Material movement tracking</t>
  </si>
  <si>
    <t xml:space="preserve">Stock Ledger, Project-wise Stock Tracking, DI/Delivery Note status</t>
  </si>
  <si>
    <t xml:space="preserve">Stock ledger, project-wise stock, stock entries, DI/DN status</t>
  </si>
  <si>
    <t xml:space="preserve">Proforma Invoice for advance/scheduled supply per SO payment terms</t>
  </si>
  <si>
    <t xml:space="preserve">'Proforma Invoice' print format on Sales Order + Payment Request</t>
  </si>
  <si>
    <t xml:space="preserve">Config (print format)</t>
  </si>
  <si>
    <t xml:space="preserve">'MSCAST Proforma Invoice' + advance payment request</t>
  </si>
  <si>
    <t xml:space="preserve">Supplementary Invoice for retention amount</t>
  </si>
  <si>
    <t xml:space="preserve">Payment Terms Template + retention tracker; Retention Receivable account</t>
  </si>
  <si>
    <t xml:space="preserve">Yes (retention tracking)</t>
  </si>
  <si>
    <t xml:space="preserve">Retention reclassified to Retention Receivable on two projects; supplementary invoice against the agreed claim</t>
  </si>
  <si>
    <t xml:space="preserve">Track Sales Order vs Purchase Order vs Supply Invoice</t>
  </si>
  <si>
    <t xml:space="preserve">Custom tracker report SO ↔ PCC ↔ PO ↔ PI ↔ SI</t>
  </si>
  <si>
    <t xml:space="preserve">'MSCAST SO - PO - Invoice Tracker' per order</t>
  </si>
  <si>
    <t xml:space="preserve">E-01</t>
  </si>
  <si>
    <t xml:space="preserve">Engineering</t>
  </si>
  <si>
    <t xml:space="preserve">Receive PCC / division scope list</t>
  </si>
  <si>
    <t xml:space="preserve">p4</t>
  </si>
  <si>
    <t xml:space="preserve">Link on Project; notification</t>
  </si>
  <si>
    <t xml:space="preserve">PCC linked from the project; engineering tasks assigned</t>
  </si>
  <si>
    <t xml:space="preserve">E-02</t>
  </si>
  <si>
    <t xml:space="preserve">Prepare engineering programme and design/drawings</t>
  </si>
  <si>
    <t xml:space="preserve">p4, p6</t>
  </si>
  <si>
    <t xml:space="preserve">Engineering tasks + Drawing Register (revisions, approvals, transmittals, Drive links)</t>
  </si>
  <si>
    <t xml:space="preserve">Custom (no-code + server script)</t>
  </si>
  <si>
    <t xml:space="preserve">9 drawings with revision tables and Drive links; MSCAST Drawing Register report. Driven by the 'MSCAST Drawing Release' workflow: Draft → For Customer Approval → Approved by Customer → Released for Manufacture → Superseded. Released for Manufacture is reachable only from Approved by Customer and only by a Projects Manager, so a drawing cannot jump to released without the customer seeing it</t>
  </si>
  <si>
    <t xml:space="preserve">E-03</t>
  </si>
  <si>
    <t xml:space="preserve">Prepare MDF (Material Data File / Material List) once drawings are final</t>
  </si>
  <si>
    <t xml:space="preserve">Engineering BOM or custom 'MDF' doctype with print; generates Material Requests</t>
  </si>
  <si>
    <t xml:space="preserve">Config + custom print</t>
  </si>
  <si>
    <t xml:space="preserve">3 MDFs (WSU, Mould, Hydraulics) + MDF print format</t>
  </si>
  <si>
    <t xml:space="preserve">MDF meaning now confirmed</t>
  </si>
  <si>
    <t xml:space="preserve">E-04</t>
  </si>
  <si>
    <t xml:space="preserve">Finalise extra bought-out item list</t>
  </si>
  <si>
    <t xml:space="preserve">Bought-out item groups; Material Request from BOM/MDF</t>
  </si>
  <si>
    <t xml:space="preserve">P1/P2</t>
  </si>
  <si>
    <t xml:space="preserve">Bought-out item groups; Material Request raised from the MDF lists</t>
  </si>
  <si>
    <t xml:space="preserve">E-05</t>
  </si>
  <si>
    <t xml:space="preserve">Send MDF and bought-out list to Procurement; follow up</t>
  </si>
  <si>
    <t xml:space="preserve">MDF submit → Material Request + notification; Procurement Tracker report</t>
  </si>
  <si>
    <t xml:space="preserve">MSCAST Transmittal register + note print; drawing set issued to the customer (acknowledged) and to the fabricator</t>
  </si>
  <si>
    <t xml:space="preserve">E-06</t>
  </si>
  <si>
    <t xml:space="preserve">Capture engineering man-hours equipment-wise and project-wise</t>
  </si>
  <si>
    <t xml:space="preserve">p8</t>
  </si>
  <si>
    <t xml:space="preserve">Timesheet with custom 'Equipment' field + man-hour report</t>
  </si>
  <si>
    <t xml:space="preserve">Config + custom field/report</t>
  </si>
  <si>
    <t xml:space="preserve">Yes (manhours)</t>
  </si>
  <si>
    <t xml:space="preserve">Timesheets with Equipment field; 'Engineering Hours by Activity' chart. The overnight checks flag any open project with no time ever booked</t>
  </si>
  <si>
    <t xml:space="preserve">What defines 'equipment'? (Q17)</t>
  </si>
  <si>
    <t xml:space="preserve">P-01</t>
  </si>
  <si>
    <t xml:space="preserve">Procurement</t>
  </si>
  <si>
    <t xml:space="preserve">Receive PCC, drawings, MDF and bought-out list</t>
  </si>
  <si>
    <t xml:space="preserve">Links from Material Request to PCC/Drawing/MDF</t>
  </si>
  <si>
    <t xml:space="preserve">PCC, drawings and MDF linked into the procurement flow</t>
  </si>
  <si>
    <t xml:space="preserve">Send enquiries to vendors</t>
  </si>
  <si>
    <t xml:space="preserve">Request for Quotation</t>
  </si>
  <si>
    <t xml:space="preserve">PUR-RFQ-2026-00001 to 3 suppliers for 3 items</t>
  </si>
  <si>
    <t xml:space="preserve">P-03</t>
  </si>
  <si>
    <t xml:space="preserve">Techno-commercial comparison of offers and supplier selection</t>
  </si>
  <si>
    <t xml:space="preserve">Supplier Quotation Comparison + custom technical scoring fields</t>
  </si>
  <si>
    <t xml:space="preserve">Custom (light)</t>
  </si>
  <si>
    <t xml:space="preserve">2 supplier quotations with technical score, compliance, deviations, recommended flag</t>
  </si>
  <si>
    <t xml:space="preserve">P-04</t>
  </si>
  <si>
    <t xml:space="preserve">Release PO with technical specifications, price, terms and conditions</t>
  </si>
  <si>
    <t xml:space="preserve">Purchase Order + T&amp;C templates + spec attachments</t>
  </si>
  <si>
    <t xml:space="preserve">Purchase orders with terms, PCC reference and budget. Sent for approval by Purchase User, approved by a director; nobody holds both roles, so a purchase order always passes through two people</t>
  </si>
  <si>
    <t xml:space="preserve">P-05</t>
  </si>
  <si>
    <t xml:space="preserve">Release drawings and MDF to equipment manufacturers</t>
  </si>
  <si>
    <t xml:space="preserve">Drawing transmittal from Drawing Register</t>
  </si>
  <si>
    <t xml:space="preserve">Custom (part of E-02)</t>
  </si>
  <si>
    <t xml:space="preserve">TRN-2026-00002 to Pushkar Fabricators with revision and sheet counts</t>
  </si>
  <si>
    <t xml:space="preserve">P-06</t>
  </si>
  <si>
    <t xml:space="preserve">Arrange bought-outs and supply them to the manufacturer</t>
  </si>
  <si>
    <t xml:space="preserve">Subcontracting supplied items / Stock Entry to vendor</t>
  </si>
  <si>
    <t xml:space="preserve">Free issue of plate and sections to the fabricator</t>
  </si>
  <si>
    <t xml:space="preserve">P-07</t>
  </si>
  <si>
    <t xml:space="preserve">Supplier follow-up; coordinate inspection of equipment and bought-outs</t>
  </si>
  <si>
    <t xml:space="preserve">Quality Inspection Templates + custom Inspection Plan per PO/project</t>
  </si>
  <si>
    <t xml:space="preserve">Standard + custom</t>
  </si>
  <si>
    <t xml:space="preserve">4 inspection plans + templates on 4 items + 2 incoming inspections</t>
  </si>
  <si>
    <t xml:space="preserve">P-08</t>
  </si>
  <si>
    <t xml:space="preserve">Release supplier payments against invoice/proforma/internal memo invoice with certification via Billing Routing Memo (BRM) to Accounts</t>
  </si>
  <si>
    <t xml:space="preserve">p4, p5, p6</t>
  </si>
  <si>
    <t xml:space="preserve">Custom 'BRM' doctype + workflow; Payment Entry allowed only against a certified BRM</t>
  </si>
  <si>
    <t xml:space="preserve">3 BRMs + print format + BRM Register report. Purchase prepares and may reject; a director certifies; Accounts marks paid. Certification sits with a director because certifying is what releases the money. Known limitation (T6g): a director also holds roles that can create a BRM and mark it paid, so the certificate does not by itself prove three people were involved. The payment block does hold for everyone</t>
  </si>
  <si>
    <t xml:space="preserve">Need BRM format &amp; approvers (Q4)</t>
  </si>
  <si>
    <t xml:space="preserve">P-09</t>
  </si>
  <si>
    <t xml:space="preserve">Track POs against PCC and update status (PCC updation)</t>
  </si>
  <si>
    <t xml:space="preserve">PO vs PCC report + PCC status column</t>
  </si>
  <si>
    <t xml:space="preserve">Custom (report)</t>
  </si>
  <si>
    <t xml:space="preserve">MSCAST PO vs PCC Variance report with committed % and variance</t>
  </si>
  <si>
    <t xml:space="preserve">P-10</t>
  </si>
  <si>
    <t xml:space="preserve">Collect vendor stock declaration of free-issue items project-wise; report to Projects/Accounts</t>
  </si>
  <si>
    <t xml:space="preserve">Vendor-wise, project-wise supplied-item balance report</t>
  </si>
  <si>
    <t xml:space="preserve">Standard + custom S</t>
  </si>
  <si>
    <t xml:space="preserve">Free Issue at Vendor report by item and value</t>
  </si>
  <si>
    <t xml:space="preserve">P-11</t>
  </si>
  <si>
    <t xml:space="preserve">Prepare Material Dispatch Memo (MDM) → Delivery Instruction to supplier</t>
  </si>
  <si>
    <t xml:space="preserve">Custom 'MDM' doctype → creates Delivery Instruction</t>
  </si>
  <si>
    <t xml:space="preserve">MDM-2026-00001 with free-issue flag + print format</t>
  </si>
  <si>
    <t xml:space="preserve">P-12</t>
  </si>
  <si>
    <t xml:space="preserve">Free-issue items list as Annexure-I with MDM</t>
  </si>
  <si>
    <t xml:space="preserve">Annexure-I print format from MDM/Subcontracting data</t>
  </si>
  <si>
    <t xml:space="preserve">Annexure-I printed with the Delivery Instruction</t>
  </si>
  <si>
    <t xml:space="preserve">P-13</t>
  </si>
  <si>
    <t xml:space="preserve">Performance Bank Guarantee (PBG) certification</t>
  </si>
  <si>
    <t xml:space="preserve">p6</t>
  </si>
  <si>
    <t xml:space="preserve">Bank Guarantee doctype + expiry notifications + BG register</t>
  </si>
  <si>
    <t xml:space="preserve">Standard + config</t>
  </si>
  <si>
    <t xml:space="preserve">2 bank guarantees (ABG + PBG) with validity + 30-day expiry notification. The overnight checks also raise an exception as expiry approaches</t>
  </si>
  <si>
    <t xml:space="preserve">Erection &amp; Commissioning</t>
  </si>
  <si>
    <t xml:space="preserve">Erection and commissioning of CCM at site</t>
  </si>
  <si>
    <t xml:space="preserve">p6, p7</t>
  </si>
  <si>
    <t xml:space="preserve">Site tasks, site timesheets, Expense Claims, commissioning report</t>
  </si>
  <si>
    <t xml:space="preserve">MSCAST Commissioning Report: 5 performance parameters, 6 trial heats, punch list, provisional acceptance + signature print</t>
  </si>
  <si>
    <t xml:space="preserve">EC-02</t>
  </si>
  <si>
    <t xml:space="preserve">Operations flow</t>
  </si>
  <si>
    <t xml:space="preserve">Inspection → Packing → Loading → Transport → Commissioning</t>
  </si>
  <si>
    <t xml:space="preserve">p7</t>
  </si>
  <si>
    <t xml:space="preserve">Quality Inspection gate before Delivery Note; Packing Slip; e-way bill</t>
  </si>
  <si>
    <t xml:space="preserve">Quality inspection → delivery note with transport details; packing slip not demoed</t>
  </si>
  <si>
    <t xml:space="preserve">Accounts</t>
  </si>
  <si>
    <t xml:space="preserve">Check PO and contract before giving credit to vendor</t>
  </si>
  <si>
    <t xml:space="preserve">p5</t>
  </si>
  <si>
    <t xml:space="preserve">Supplier payment terms; Purchase Invoice linked to PO; hold/approval</t>
  </si>
  <si>
    <t xml:space="preserve">Supplier credit limit set + PO/contract check</t>
  </si>
  <si>
    <t xml:space="preserve">A-02</t>
  </si>
  <si>
    <t xml:space="preserve">Purchase voucher entries for bought-outs and equipment with taxes, duties, freight</t>
  </si>
  <si>
    <t xml:space="preserve">p5, p6</t>
  </si>
  <si>
    <t xml:space="preserve">Purchase Invoice with tax templates; Landed Cost Voucher</t>
  </si>
  <si>
    <t xml:space="preserve">Landed cost voucher MAT-LCV-2026-00001 (Rs 45,000 freight) apportioned onto the mould-tube receipt</t>
  </si>
  <si>
    <t xml:space="preserve">Tally until 31 Mar 2027</t>
  </si>
  <si>
    <t xml:space="preserve">A-03</t>
  </si>
  <si>
    <t xml:space="preserve">Check purchase invoices against PO qty, rates, terms</t>
  </si>
  <si>
    <t xml:space="preserve">PO–PR–PI matching; over-billing allowance = 0</t>
  </si>
  <si>
    <t xml:space="preserve">Purchase invoice matched to the purchase receipt and PO</t>
  </si>
  <si>
    <t xml:space="preserve">A-04</t>
  </si>
  <si>
    <t xml:space="preserve">Sales entry from sales invoice raised by project coordinator</t>
  </si>
  <si>
    <t xml:space="preserve">Sales Invoice (e-invoice if applicable)</t>
  </si>
  <si>
    <t xml:space="preserve">Intra-state CGST+SGST, inter-state IGST and services invoices</t>
  </si>
  <si>
    <t xml:space="preserve">Project payments only after BRM from Procurement</t>
  </si>
  <si>
    <t xml:space="preserve">Payment Entry validation against certified BRM</t>
  </si>
  <si>
    <t xml:space="preserve">Custom (server script)</t>
  </si>
  <si>
    <t xml:space="preserve">Server script 'MSCAST BRM payment block' on Payment Entry (Before Submit) - verified live on every harness run: payment against a bill with no certified BRM is refused, for every user including a director</t>
  </si>
  <si>
    <t xml:space="preserve">Depends on P-08</t>
  </si>
  <si>
    <t xml:space="preserve">A-06</t>
  </si>
  <si>
    <t xml:space="preserve">Non-project payments: admin, utilities, credit cards, government, salary</t>
  </si>
  <si>
    <t xml:space="preserve">Payment Entry / Journal Entry</t>
  </si>
  <si>
    <t xml:space="preserve">6 journal vouchers: electricity, petty cash imprest and spend, foreign travel, insurance, cargo agency</t>
  </si>
  <si>
    <t xml:space="preserve">A-07</t>
  </si>
  <si>
    <t xml:space="preserve">Petty cash payments</t>
  </si>
  <si>
    <t xml:space="preserve">Petty cash account + Mode of Payment; Employee Advance for imprest</t>
  </si>
  <si>
    <t xml:space="preserve">Petty Cash account + 'Cash' mode of payment</t>
  </si>
  <si>
    <t xml:space="preserve">A-08</t>
  </si>
  <si>
    <t xml:space="preserve">Customer receipts and receipt to customer</t>
  </si>
  <si>
    <t xml:space="preserve">Payment Entry (Receive) + receipt print format</t>
  </si>
  <si>
    <t xml:space="preserve">Advance receipts against ABG across projects</t>
  </si>
  <si>
    <t xml:space="preserve">A-09</t>
  </si>
  <si>
    <t xml:space="preserve">Cheque printing</t>
  </si>
  <si>
    <t xml:space="preserve">Cheque Print Template (bank-wise)</t>
  </si>
  <si>
    <t xml:space="preserve">'MSCAST Payment Receipt' print format with amount in words and allocation table; HDFC cheque template configured</t>
  </si>
  <si>
    <t xml:space="preserve">A-10</t>
  </si>
  <si>
    <t xml:space="preserve">Cash receipts against travel advances and sale of old items</t>
  </si>
  <si>
    <t xml:space="preserve">Employee Advance return; asset/scrap sale invoice</t>
  </si>
  <si>
    <t xml:space="preserve">P4/P5</t>
  </si>
  <si>
    <t xml:space="preserve">Configured</t>
  </si>
  <si>
    <t xml:space="preserve">A-11</t>
  </si>
  <si>
    <t xml:space="preserve">Debit/credit notes per PO terms</t>
  </si>
  <si>
    <t xml:space="preserve">Debit Note / Credit Note</t>
  </si>
  <si>
    <t xml:space="preserve">Credit note (sales rejection) and debit note (rate difference)</t>
  </si>
  <si>
    <t xml:space="preserve">A-12</t>
  </si>
  <si>
    <t xml:space="preserve">Journal vouchers: travel (India &amp; foreign), asset purchase, insurance, year-end, cargo agencies</t>
  </si>
  <si>
    <t xml:space="preserve">Journal Entry; multi-currency Expense Claim; Landed Cost Voucher</t>
  </si>
  <si>
    <t xml:space="preserve">Foreign travel, marine + erection insurance, cargo agency vouchers</t>
  </si>
  <si>
    <t xml:space="preserve">A-13</t>
  </si>
  <si>
    <t xml:space="preserve">Monthly MIS reflecting monthly project costs</t>
  </si>
  <si>
    <t xml:space="preserve">Cost Centre/Project dimension P&amp;L + PCC vs actual MIS</t>
  </si>
  <si>
    <t xml:space="preserve">MSCAST Project MIS + PO vs PCC variance. Every ledger entry is checked to carry a cost centre</t>
  </si>
  <si>
    <t xml:space="preserve">A-14</t>
  </si>
  <si>
    <t xml:space="preserve">Monthly Balance Sheet, P&amp;L, Funds Flow / Cash Flow</t>
  </si>
  <si>
    <t xml:space="preserve">Balance Sheet, P&amp;L, Cash Flow; Schedule III templates</t>
  </si>
  <si>
    <t xml:space="preserve">Schedule III balance sheet and P&amp;L in the statutory vertical format - verified to balance to the rupee and the profit ties to the ledger surplus. Plus the 2021-amendment disclosures and the eleven prescribed ratios (guarded so immaterial denominators show n/a). ASSUMPTION: format still to be signed off by the CA</t>
  </si>
  <si>
    <t xml:space="preserve">Confirm Funds Flow not needed (small company may omit cash flow)</t>
  </si>
  <si>
    <t xml:space="preserve">M-01</t>
  </si>
  <si>
    <t xml:space="preserve">Management modules</t>
  </si>
  <si>
    <t xml:space="preserve">Employee management: leave, attendance, hours, salary slips</t>
  </si>
  <si>
    <t xml:space="preserve">Frappe HR + india-payroll salary slips</t>
  </si>
  <si>
    <t xml:space="preserve">6 employees, 150 attendance records, leave, 6 salary slips, expense claim</t>
  </si>
  <si>
    <t xml:space="preserve">Finance Scaling Management</t>
  </si>
  <si>
    <t xml:space="preserve">Unclear requirement</t>
  </si>
  <si>
    <t xml:space="preserve">–</t>
  </si>
  <si>
    <t xml:space="preserve">'MSCAST Finance Scaling - Funding and Capacity': order book and pipeline against scheduled collections, committed outflows, cash, the Rs 2.5 Cr sanctioned HDFC limit and the projected 90-day headroom. ASSUMPTION: never defined by MSCAST - read as whether the business can fund the order book it is chasing (Q1)</t>
  </si>
  <si>
    <t xml:space="preserve">Meaning? (Q1)</t>
  </si>
  <si>
    <t xml:space="preserve">Biometric door lock/unlock (access control) integration for attendance</t>
  </si>
  <si>
    <t xml:space="preserve">Employee Checkin API + Shift Type auto-attendance; device sync agent</t>
  </si>
  <si>
    <t xml:space="preserve">Shift type with auto attendance, 72 punches from device MSCAST-DOOR-01 converted into Attendance, plus the audit report. The scheduled pull job is switched off - it must be enabled and proven against manually checked attendance before payroll relies on it. ASSUMPTION: no device model given, so the standard push pattern is modelled (Q6)</t>
  </si>
  <si>
    <t xml:space="preserve">Device make/model, count, LAN or cloud (Q6)</t>
  </si>
  <si>
    <t xml:space="preserve">M-04</t>
  </si>
  <si>
    <t xml:space="preserve">Customer &amp; supplier management</t>
  </si>
  <si>
    <t xml:space="preserve">Customer/Supplier masters, portal, scorecard</t>
  </si>
  <si>
    <t xml:space="preserve">Masters with GST, MSME, capability and scorecard</t>
  </si>
  <si>
    <t xml:space="preserve">AC-01</t>
  </si>
  <si>
    <t xml:space="preserve">Accounts POV (compliance)</t>
  </si>
  <si>
    <t xml:space="preserve">Audit trail facility (MCA rule from 1 Apr 2023) with auditor login</t>
  </si>
  <si>
    <t xml:space="preserve">p10</t>
  </si>
  <si>
    <t xml:space="preserve">India Compliance audit trail (cannot be disabled once on) + a read-only auditor role + Accounting Period freeze</t>
  </si>
  <si>
    <t xml:space="preserve">P0/P4</t>
  </si>
  <si>
    <t xml:space="preserve">Audit trail enabled before first entry. Auditor role: read / report / print / export only, including Version history and GL Entry, held by the external CA (S. Joshi) - no write anywhere. Correction carried from v1.6: MSCAST Director is not a read-only role. It is the approving role, carrying PCC approval, purchase order approval, BRM certification and kick-off approval. The @mscast.demo read-only demo logins were retired when the users were rebuilt as named people</t>
  </si>
  <si>
    <t xml:space="preserve">AC-02</t>
  </si>
  <si>
    <t xml:space="preserve">Edit log of each transaction in ERP</t>
  </si>
  <si>
    <t xml:space="preserve">Version log on all ledger doctypes; 'Audit Trail' report</t>
  </si>
  <si>
    <t xml:space="preserve">Partly (audit trail)</t>
  </si>
  <si>
    <t xml:space="preserve">Version log + India Compliance Audit Trail report</t>
  </si>
  <si>
    <t xml:space="preserve">AC-03</t>
  </si>
  <si>
    <t xml:space="preserve">Accounts POV (controls)</t>
  </si>
  <si>
    <t xml:space="preserve">Alerts for incomplete data, masters and transactions</t>
  </si>
  <si>
    <t xml:space="preserve">Notifications + Auto Email Reports on saved 'missing data' reports</t>
  </si>
  <si>
    <t xml:space="preserve">P1→P4</t>
  </si>
  <si>
    <t xml:space="preserve">9 enabled notifications (BG expiry, PO over PCC, drawing approval) + scheduled reports, all resolving to a live mailbox - checked on every harness run. Plus the 16-rule overnight sweep, which is the systematic version of this requirement</t>
  </si>
  <si>
    <t xml:space="preserve">AC-04</t>
  </si>
  <si>
    <t xml:space="preserve">Emailing of all possible outputs</t>
  </si>
  <si>
    <t xml:space="preserve">Email button with PDF print format; Notification attach print; Auto Email Report</t>
  </si>
  <si>
    <t xml:space="preserve">All</t>
  </si>
  <si>
    <t xml:space="preserve">Outgoing mail live through Purelymail; SPF, DKIM and DMARC all pass at Gmail; site host_name set so document links resolve publicly</t>
  </si>
  <si>
    <t xml:space="preserve">Daily SMS to COO/CFO: major-value transactions; revenue &amp; receipts vs purchases &amp; expenses; MIS</t>
  </si>
  <si>
    <t xml:space="preserve">SMS needs TRAI DLT registration and fixed templates - poor fit for a multi-figure summary. Email / WhatsApp / Google Chat recommended</t>
  </si>
  <si>
    <t xml:space="preserve">Config + custom (small)</t>
  </si>
  <si>
    <t xml:space="preserve">P2 (value alerts) / P4 (summary)</t>
  </si>
  <si>
    <t xml:space="preserve">Daily management summary (20 indicators with an Attention column) at 08:30 IST, plus the AI morning note at 08:35 which ranks the day's exceptions and names what matters most, emailed to the directors with every item linked. Google Chat webhooks for transactions above Rs 5 L are configured and left disabled pending the space URL</t>
  </si>
  <si>
    <t xml:space="preserve">Channel choice (Q7, D7)</t>
  </si>
  <si>
    <t xml:space="preserve">Accounts POV (Companies Act s.128)</t>
  </si>
  <si>
    <t xml:space="preserve">Books in electronic mode; director inspection; 8-year retention; 'ERP provider undertaking that software runs 8 years'</t>
  </si>
  <si>
    <t xml:space="preserve">p11</t>
  </si>
  <si>
    <t xml:space="preserve">India VPS with daily India backups (Rule 3(5)); GPL software cannot be withdrawn; yearly archive dumps; IT policy</t>
  </si>
  <si>
    <t xml:space="preserve">Config + policy</t>
  </si>
  <si>
    <t xml:space="preserve">MSCAST Archival Log + monthly scheduled script + 8-year retention note + rolling backups. Off-site India copy is a production step</t>
  </si>
  <si>
    <t xml:space="preserve">Accept archival policy instead of vendor undertaking? (Q13)</t>
  </si>
  <si>
    <t xml:space="preserve">Accounts POV (standards)</t>
  </si>
  <si>
    <t xml:space="preserve">Indian Accounting Standards list (share-based payments, fair value, segments, EPS, etc.)</t>
  </si>
  <si>
    <t xml:space="preserve">p12</t>
  </si>
  <si>
    <t xml:space="preserve">MSCAST likely follows Companies (AS) Rules 2021 as an SMC; Ind AS applies only at net worth ≥ ₹250 Cr</t>
  </si>
  <si>
    <t xml:space="preserve">External (CA)</t>
  </si>
  <si>
    <t xml:space="preserve">'MSCAST Notes to Accounts' - 25 notes including MSMED s.22, related party (AS 18), contingent liabilities from live bank guarantees, CWIP ageing, EPS basis, audit-trail note and the Schedule III negative disclosures. ASSUMPTION: SMC reporting under AS, stated on the face of the note</t>
  </si>
  <si>
    <t xml:space="preserve">CA to confirm (Q10)</t>
  </si>
  <si>
    <t xml:space="preserve">Accounts POV (equity &amp; liabilities)</t>
  </si>
  <si>
    <t xml:space="preserve">Share capital: authorised, issued; reconciliation of shares; &gt;5% shareholders; rights</t>
  </si>
  <si>
    <t xml:space="preserve">p13</t>
  </si>
  <si>
    <t xml:space="preserve">Share capital accounts; Shareholder/Share Transfer records</t>
  </si>
  <si>
    <t xml:space="preserve">Config / External</t>
  </si>
  <si>
    <t xml:space="preserve">3 shareholders, Share Type Equity, 10,000 equity shares of Rs 10 (paid-up Rs 1,00,000). Held as Promoter A / B / C - invented percentages are not attributed to real named directors in a demonstration</t>
  </si>
  <si>
    <t xml:space="preserve">AC-09</t>
  </si>
  <si>
    <t xml:space="preserve">Reserves &amp; surplus; borrowings; lease liabilities</t>
  </si>
  <si>
    <t xml:space="preserve">Chart of accounts (Schedule III grouping); lease entries by JV</t>
  </si>
  <si>
    <t xml:space="preserve">Reserves and Surplus, Borrowings - HDFC Term Loan, Lease Liabilities, Prior Period Expenses, Fines and Penalties, Retention Receivable, Petty Cash</t>
  </si>
  <si>
    <t xml:space="preserve">Trade payables split: micro &amp; small enterprises vs others</t>
  </si>
  <si>
    <t xml:space="preserve">Custom Supplier fields (Udyam no., class) + 45-day dues report</t>
  </si>
  <si>
    <t xml:space="preserve">Custom (fields + script report)</t>
  </si>
  <si>
    <t xml:space="preserve">P2 (fields) / P4 (report)</t>
  </si>
  <si>
    <t xml:space="preserve">Suppliers tagged Micro/Small with Udyam numbers; 'MSCAST MSME 45-Day Dues' report with days-beyond-45 and disallowance flag. The overnight checks raise an exception as a bill approaches day 45</t>
  </si>
  <si>
    <t xml:space="preserve">Provisions: gratuity, actuarial valuation &amp; entries, gratuity paid; income tax; deferred tax</t>
  </si>
  <si>
    <t xml:space="preserve">Frappe HR Gratuity; liability valuation external → JV; tax &amp; deferred tax by JV</t>
  </si>
  <si>
    <t xml:space="preserve">Standard + External</t>
  </si>
  <si>
    <t xml:space="preserve">P5 (gratuity) / P4</t>
  </si>
  <si>
    <t xml:space="preserve">Gratuity Rule + provision Rs 9.91 L; current tax Rs 5.23 L at 25.168% (s.115BAA); deferred tax with DTA on gratuity and DTL on depreciation timing. ASSUMPTIONS stated in each voucher narration</t>
  </si>
  <si>
    <t xml:space="preserve">AC-12</t>
  </si>
  <si>
    <t xml:space="preserve">Accounts POV (assets)</t>
  </si>
  <si>
    <t xml:space="preserve">Fixed asset register: additions with date put to use, asset ID, deletions/sales, depreciation cumulative &amp; for period, discarded listing</t>
  </si>
  <si>
    <t xml:space="preserve">p14</t>
  </si>
  <si>
    <t xml:space="preserve">Asset with depreciation schedules, two Finance Books, disposal/scrap</t>
  </si>
  <si>
    <t xml:space="preserve">4 assets submitted with depreciation schedules</t>
  </si>
  <si>
    <t xml:space="preserve">Identification of own assets vs Tata Motors' assets</t>
  </si>
  <si>
    <t xml:space="preserve">Separate register (custom doctype)</t>
  </si>
  <si>
    <t xml:space="preserve">Custom (small)</t>
  </si>
  <si>
    <t xml:space="preserve">MSCAST Customer Asset register - customer-supplied mould tube set and gauges held at the sub-contractor, explicitly not capitalised</t>
  </si>
  <si>
    <t xml:space="preserve">What are Tata Motors assets? (Q8)</t>
  </si>
  <si>
    <t xml:space="preserve">AC-14</t>
  </si>
  <si>
    <t xml:space="preserve">Intangible assets: software, life, amortisation, under development</t>
  </si>
  <si>
    <t xml:space="preserve">Intangible Asset Category with SLM amortisation; CWIP</t>
  </si>
  <si>
    <t xml:space="preserve">'Software (Intangible)' category + ERP licence Rs 2.40 L amortised over 36 months</t>
  </si>
  <si>
    <t xml:space="preserve">AC-15</t>
  </si>
  <si>
    <t xml:space="preserve">Capital work-in-progress list with completion status; asset purchase invoices</t>
  </si>
  <si>
    <t xml:space="preserve">CWIP accounting on Asset Category + Asset Capitalization</t>
  </si>
  <si>
    <t xml:space="preserve">'Plant under construction (CWIP)' category; Rs 7.80 L in CWIP; available for use in 3 months</t>
  </si>
  <si>
    <t xml:space="preserve">AC-16</t>
  </si>
  <si>
    <t xml:space="preserve">Accounts POV (inventory)</t>
  </si>
  <si>
    <t xml:space="preserve">Closing stock register category-wise and item-wise (RM, WIP, FG, stores &amp; spares, consumables); quantitative opening/purchases/sales/closing</t>
  </si>
  <si>
    <t xml:space="preserve">Stock Balance by item group/warehouse</t>
  </si>
  <si>
    <t xml:space="preserve">Stock Balance by item group and warehouse</t>
  </si>
  <si>
    <t xml:space="preserve">Working of valuation of semi-finished inventory (WIP)</t>
  </si>
  <si>
    <t xml:space="preserve">Project WIP account + JV on sale</t>
  </si>
  <si>
    <t xml:space="preserve">Custom / design decision</t>
  </si>
  <si>
    <t xml:space="preserve">P3 (design) / P4</t>
  </si>
  <si>
    <t xml:space="preserve">'MSCAST Project WIP Valuation' report carrying Rs 26.71 L. Method: bought-out billed + material issued + engineering hours at Rs 450/hr + 12% works overhead, less the cost of the billed portion. ASSUMPTION: method needs the auditor's blessing (D6)</t>
  </si>
  <si>
    <t xml:space="preserve">Current Tally method (Q11), D6</t>
  </si>
  <si>
    <t xml:space="preserve">GST on closing inventory</t>
  </si>
  <si>
    <t xml:space="preserve">Not a regular GST concept (ITC reversal only on cancellation)</t>
  </si>
  <si>
    <t xml:space="preserve">'MSCAST GST on Closing Inventory (ITC and ITC-04)' - stock by warehouse with HSN, value, embedded ITC and the treatment note, separating stock at the job worker (ITC-04, one-year rule) from stock on own premises</t>
  </si>
  <si>
    <t xml:space="preserve">Meaning? (Q9)</t>
  </si>
  <si>
    <t xml:space="preserve">AC-19</t>
  </si>
  <si>
    <t xml:space="preserve">Accounts POV (sales)</t>
  </si>
  <si>
    <t xml:space="preserve">Sales reconciliation incl. with GSTR-1; rate difference working; rejections</t>
  </si>
  <si>
    <t xml:space="preserve">p15</t>
  </si>
  <si>
    <t xml:space="preserve">GSTR-1 (Books vs Filed); credit/debit notes; sales returns</t>
  </si>
  <si>
    <t xml:space="preserve">Yes (GST)</t>
  </si>
  <si>
    <t xml:space="preserve">GST sales invoices with correct CGST/SGST vs IGST - checked against the place of supply on every invoice, every harness run; GSTR-1 and GST Sales Register available</t>
  </si>
  <si>
    <t xml:space="preserve">AC-20</t>
  </si>
  <si>
    <t xml:space="preserve">Accounts POV (purchase)</t>
  </si>
  <si>
    <t xml:space="preserve">Purchase reconciliation (RM, components, consumables, labour) with GSTR; rejections</t>
  </si>
  <si>
    <t xml:space="preserve">Purchase Reconciliation Tool (GSTR-2A/2B); purchase returns</t>
  </si>
  <si>
    <t xml:space="preserve">PINV with input IGST; Purchase Reconciliation Tool available</t>
  </si>
  <si>
    <t xml:space="preserve">AC-21</t>
  </si>
  <si>
    <t xml:space="preserve">Accounts POV (expenses)</t>
  </si>
  <si>
    <t xml:space="preserve">Expenses: monthly volume, last-year comparison, ratio to sales</t>
  </si>
  <si>
    <t xml:space="preserve">P&amp;L Growth View and Margin View</t>
  </si>
  <si>
    <t xml:space="preserve">'MSCAST Expense Analysis (vs last year, % of sales)' report</t>
  </si>
  <si>
    <t xml:space="preserve">TDS deduction on expenses</t>
  </si>
  <si>
    <t xml:space="preserve">Tax Withholding Categories (194C/194J etc.)</t>
  </si>
  <si>
    <t xml:space="preserve">TDS 194C category (2%) on the fabricator, with TDS deducted on the invoice</t>
  </si>
  <si>
    <t xml:space="preserve">AC-23</t>
  </si>
  <si>
    <t xml:space="preserve">Accounts POV (payroll)</t>
  </si>
  <si>
    <t xml:space="preserve">Monthly payroll matching all deductions: PF, ESI, PT, TDS</t>
  </si>
  <si>
    <t xml:space="preserve">Salary Register + PF/ESI/PT/TDS registers</t>
  </si>
  <si>
    <t xml:space="preserve">Standard (+ bug check)</t>
  </si>
  <si>
    <t xml:space="preserve">6 salary slips with PF 12%, ESIC, Professional Tax MH and TDS; india_payroll registers need statutory config. v16 Maharashtra PT women-exemption bug to be checked before go-live</t>
  </si>
  <si>
    <t xml:space="preserve">AC-24</t>
  </si>
  <si>
    <t xml:space="preserve">Prior period expenses; fines &amp; penalties under any law</t>
  </si>
  <si>
    <t xml:space="preserve">Separate GL accounts + JV tagging</t>
  </si>
  <si>
    <t xml:space="preserve">Both accounts created</t>
  </si>
  <si>
    <t xml:space="preserve">AC-25</t>
  </si>
  <si>
    <t xml:space="preserve">Warranty claims</t>
  </si>
  <si>
    <t xml:space="preserve">Warranty Claim + Maintenance Visit; warranty provision account</t>
  </si>
  <si>
    <t xml:space="preserve">1 open warranty claim against a spare roll</t>
  </si>
  <si>
    <t xml:space="preserve">Built in the POC beyond the requirement list</t>
  </si>
  <si>
    <t xml:space="preserve">What was built</t>
  </si>
  <si>
    <t xml:space="preserve">Packaged as an installable app</t>
  </si>
  <si>
    <t xml:space="preserve">mscast_erp carries every doctype, report, print format, workflow, control and the theme, so the system rebuilds on a server rather than only on the build laptop. Tagged release v0.9.0</t>
  </si>
  <si>
    <t xml:space="preserve">Overnight exception engine</t>
  </si>
  <si>
    <t xml:space="preserve">16 rules at 06:00 comparing documents against each other and the calendar - uncertified bills, MSME clock, guarantee expiry, projects with no time booked, dispatch without paperwork. Writes to MSCAST Exception with severity, document and suggested action. No model, no network, no cost</t>
  </si>
  <si>
    <t xml:space="preserve">AI morning briefing</t>
  </si>
  <si>
    <t xml:space="preserve">08:35, turns the findings plus the management summary into a few sentences naming what matters most today, emailed to the directors with every item linked. Falls back to a plain list if the model is unreachable</t>
  </si>
  <si>
    <t xml:space="preserve">Post-deploy control verification</t>
  </si>
  <si>
    <t xml:space="preserve">Six control transitions verified and repaired after every install and upgrade, with a banner and an Error Log entry. Written after an install silently reverted the approval rules</t>
  </si>
  <si>
    <t xml:space="preserve">Branding</t>
  </si>
  <si>
    <t xml:space="preserve">MSCAST logo, favicon, app name, login branding, navy/amber desk theme, role-scoped workspaces</t>
  </si>
  <si>
    <t xml:space="preserve">Executive dashboard</t>
  </si>
  <si>
    <t xml:space="preserve">KPI number cards and charts on the MSCAST workspace, plus a role-aware home page</t>
  </si>
  <si>
    <t xml:space="preserve">Letterhead</t>
  </si>
  <si>
    <t xml:space="preserve">MSCAST letterhead with address, CIN, GSTIN, IEC on all custom print formats, with a demonstration watermark</t>
  </si>
  <si>
    <t xml:space="preserve">MSCAST forms</t>
  </si>
  <si>
    <t xml:space="preserve">25 doctypes (8 of them child tables)</t>
  </si>
  <si>
    <t xml:space="preserve">Print formats</t>
  </si>
  <si>
    <t xml:space="preserve">16 MSCAST print formats; every one with a sample document is rendered as part of the build checks</t>
  </si>
  <si>
    <t xml:space="preserve">Custom reports</t>
  </si>
  <si>
    <t xml:space="preserve">28 MSCAST query reports</t>
  </si>
  <si>
    <t xml:space="preserve">Controls</t>
  </si>
  <si>
    <t xml:space="preserve">BRM payment block, four approval workflows plus the drawing release workflow, monthly archival job</t>
  </si>
  <si>
    <t xml:space="preserve">Roles</t>
  </si>
  <si>
    <t xml:space="preserve">MSCAST Director (approving) and Auditor (read-only including Version history), plus Design User so the drawing office can issue but not release</t>
  </si>
  <si>
    <t xml:space="preserve">9 notifications, email digest, 3 scheduled email reports, 10 email templates</t>
  </si>
  <si>
    <t xml:space="preserve">GST masters</t>
  </si>
  <si>
    <t xml:space="preserve">18,687 HSN codes, GST accounts, item tax templates, tax categories, addresses with GSTIN</t>
  </si>
  <si>
    <t xml:space="preserve">Demo dataset</t>
  </si>
  <si>
    <t xml:space="preserve">3 projects at different stages including one full lifecycle to certificate, 63 items, 28 parties, 14 installed machines (2009-2024), 14 bid outcomes, 4 assets, 6 employees with payroll, 13 staff logins (12 named people plus the site administrator)</t>
  </si>
  <si>
    <t xml:space="preserve">Public demo URL</t>
  </si>
  <si>
    <t xml:space="preserve">Cloudflare Tunnel to https://mscast.carobar.net - own domain, valid certificate, no client software</t>
  </si>
  <si>
    <t xml:space="preserve">Repeatable build</t>
  </si>
  <si>
    <t xml:space="preserve">114 idempotent seed scripts + the operational script set; custom Docker image with 5 apps; a clean build proven from the repository onto an empty site</t>
  </si>
  <si>
    <t xml:space="preserve">Statutory pack</t>
  </si>
  <si>
    <t xml:space="preserve">Schedule III balance sheet and P&amp;L that balance to the rupee, ageing, the eleven prescribed ratios, 25 notes to accounts</t>
  </si>
  <si>
    <t xml:space="preserve">Test harness</t>
  </si>
  <si>
    <t xml:space="preserve">27 automated checks covering SQL literals against real field options, report execution, Indian dates, print rendering, ledger integrity, the payment control, the approval authority, segregation of duties on two independent axes, who holds System Manager, seeded-data validity, GST place of supply, mail and payroll</t>
  </si>
  <si>
    <t xml:space="preserve">Documentation</t>
  </si>
  <si>
    <t xml:space="preserve">Client Setup Guide, SOPs and Use Cases, Role Cards (one page per role), Production Cutover Runbook, Independent Review, Data Request Covering Note, this matrix</t>
  </si>
  <si>
    <t xml:space="preserve">Known gaps to close next</t>
  </si>
  <si>
    <t xml:space="preserve">gap</t>
  </si>
  <si>
    <t xml:space="preserve">Six items rest on stated assumptions that MSCAST or the CA should confirm: the Schedule III format, the SMC/AS basis, the WIP valuation method, the s.115BAA tax rate, the meaning of 'Finance Scaling Management', and the biometric device model</t>
  </si>
  <si>
    <t xml:space="preserve">Comparative (previous year) columns fill only when the Tally opening balances are migrated</t>
  </si>
  <si>
    <t xml:space="preserve">Google Chat webhooks are configured but disabled - they need the space URL</t>
  </si>
  <si>
    <t xml:space="preserve">The biometric attendance pull is switched off and must be enabled and proven before payroll relies on it</t>
  </si>
  <si>
    <t xml:space="preserve">The Administrator password must be rotated before the system carries real data on a server</t>
  </si>
  <si>
    <t xml:space="preserve">reset-poc.sh has not been run end to end since the four most recent scripts were added to it - the claim that the system rebuilds from nothing is currently untested</t>
  </si>
  <si>
    <t xml:space="preserve">Opening data migration from Tally, production VPS, HTTPS and daily India-hosted backups</t>
  </si>
  <si>
    <t xml:space="preserve">The AI briefing points at a model router on the build laptop; a server needs a hosted endpoint - three configuration lines, no code change</t>
  </si>
  <si>
    <t xml:space="preserve">Topic</t>
  </si>
  <si>
    <t xml:space="preserve">Question for MSCAST / CA</t>
  </si>
  <si>
    <t xml:space="preserve">Related IDs</t>
  </si>
  <si>
    <t xml:space="preserve">Needed by</t>
  </si>
  <si>
    <t xml:space="preserve">Answer</t>
  </si>
  <si>
    <t xml:space="preserve">Owner</t>
  </si>
  <si>
    <t xml:space="preserve">Q1</t>
  </si>
  <si>
    <t xml:space="preserve">What exactly is meant (budgets, cash-flow forecasting, multi-entity growth, credit limits)?</t>
  </si>
  <si>
    <t xml:space="preserve">Q2</t>
  </si>
  <si>
    <t xml:space="preserve">PCC</t>
  </si>
  <si>
    <t xml:space="preserve">Share the current PCC template, who prepares/approves it, how often it is revised, and whether it is at component or assembly level.</t>
  </si>
  <si>
    <t xml:space="preserve">S-02, PC-03, P-09</t>
  </si>
  <si>
    <t xml:space="preserve">Q3</t>
  </si>
  <si>
    <t xml:space="preserve">Project MIS</t>
  </si>
  <si>
    <t xml:space="preserve">Share the 'New Project MIS' template and the monthly project cost MIS format.</t>
  </si>
  <si>
    <t xml:space="preserve">PC-13, A-13</t>
  </si>
  <si>
    <t xml:space="preserve">Q4</t>
  </si>
  <si>
    <t xml:space="preserve">BRM</t>
  </si>
  <si>
    <t xml:space="preserve">Share the Billing Routing Memo format, approvers and payment release rules. Certification currently sits with a director - confirm that matches MSCAST's intent.</t>
  </si>
  <si>
    <t xml:space="preserve">P-08, A-05</t>
  </si>
  <si>
    <t xml:space="preserve">Q5</t>
  </si>
  <si>
    <t xml:space="preserve">MDM / DI / Annexure-I</t>
  </si>
  <si>
    <t xml:space="preserve">Share sample Material Dispatch Memo, Delivery Instruction and Annexure-I.</t>
  </si>
  <si>
    <t xml:space="preserve">P-11, PC-04, P-12</t>
  </si>
  <si>
    <t xml:space="preserve">Q6</t>
  </si>
  <si>
    <t xml:space="preserve">Biometric access control</t>
  </si>
  <si>
    <t xml:space="preserve">Device make/model and count; network (LAN/cloud); should ERP only read punches or also control door lock/unlock?</t>
  </si>
  <si>
    <t xml:space="preserve">Q7</t>
  </si>
  <si>
    <t xml:space="preserve">Daily SMS</t>
  </si>
  <si>
    <t xml:space="preserve">Recipients; is WhatsApp/Google Chat/email acceptable instead of SMS? Is DLT registration already done?</t>
  </si>
  <si>
    <t xml:space="preserve">Q8</t>
  </si>
  <si>
    <t xml:space="preserve">Customer-owned assets</t>
  </si>
  <si>
    <t xml:space="preserve">What are these assets? How are they recorded today?</t>
  </si>
  <si>
    <t xml:space="preserve">Q9</t>
  </si>
  <si>
    <t xml:space="preserve">What report/working is expected?</t>
  </si>
  <si>
    <t xml:space="preserve">Q10</t>
  </si>
  <si>
    <t xml:space="preserve">Accounting standards</t>
  </si>
  <si>
    <t xml:space="preserve">CA to confirm AS (Companies (AS) Rules 2021) vs Ind AS and SMC/small-company status; cash flow statement needed?</t>
  </si>
  <si>
    <t xml:space="preserve">AC-07, A-14</t>
  </si>
  <si>
    <t xml:space="preserve">Q11</t>
  </si>
  <si>
    <t xml:space="preserve">WIP valuation</t>
  </si>
  <si>
    <t xml:space="preserve">How is semi-finished/project WIP valued in Tally today (per project cost sheet, % completion)?</t>
  </si>
  <si>
    <t xml:space="preserve">Q12</t>
  </si>
  <si>
    <t xml:space="preserve">Payroll</t>
  </si>
  <si>
    <t xml:space="preserve">Headcount under PF/ESI; current payroll provider; gratuity valuation method.</t>
  </si>
  <si>
    <t xml:space="preserve">M-01, AC-23, AC-11</t>
  </si>
  <si>
    <t xml:space="preserve">Q13</t>
  </si>
  <si>
    <t xml:space="preserve">8-year undertaking</t>
  </si>
  <si>
    <t xml:space="preserve">Is an open-source + archival/backup policy acceptable in place of a vendor undertaking?</t>
  </si>
  <si>
    <t xml:space="preserve">Q14</t>
  </si>
  <si>
    <t xml:space="preserve">Additional claims</t>
  </si>
  <si>
    <t xml:space="preserve">How are claims agreed and billed (amendment to SO, separate invoice, credit note)?</t>
  </si>
  <si>
    <t xml:space="preserve">Q15</t>
  </si>
  <si>
    <t xml:space="preserve">Spares Dept</t>
  </si>
  <si>
    <t xml:space="preserve">Separate team? Spares from stock or order-based? Price lists?</t>
  </si>
  <si>
    <t xml:space="preserve">Q16</t>
  </si>
  <si>
    <t xml:space="preserve">Foreign travel / exports</t>
  </si>
  <si>
    <t xml:space="preserve">Frequency, currencies, export orders?</t>
  </si>
  <si>
    <t xml:space="preserve">Q17</t>
  </si>
  <si>
    <t xml:space="preserve">Equipment-wise man-hours</t>
  </si>
  <si>
    <t xml:space="preserve">Which list defines 'equipment' (CCM sub-assemblies such as ladle turret, tundish, mould, WSU)?</t>
  </si>
  <si>
    <t xml:space="preserve">Q18</t>
  </si>
  <si>
    <t xml:space="preserve">Flowchart order</t>
  </si>
  <si>
    <t xml:space="preserve">Flowchart shows 'Mscast PO Release' before 'Designing' — are long-lead bought-outs ordered before design is complete?</t>
  </si>
  <si>
    <t xml:space="preserve">E-04, P-04</t>
  </si>
  <si>
    <t xml:space="preserve">Q19</t>
  </si>
  <si>
    <t xml:space="preserve">Share register</t>
  </si>
  <si>
    <t xml:space="preserve">Keep shareholder/share transfer records in ERP, or with the company secretary?</t>
  </si>
  <si>
    <t xml:space="preserve">Q20</t>
  </si>
  <si>
    <t xml:space="preserve">Self-approval on the cost sheet and the kick-off</t>
  </si>
  <si>
    <t xml:space="preserve">A director can currently prepare a PCC or verify a customer PO and then approve it alone. Accepted for a company of this size and documented - but confirm it is intended, or move preparation to staff.</t>
  </si>
  <si>
    <t xml:space="preserve">S-02, PC-01</t>
  </si>
  <si>
    <t xml:space="preserve">Q21</t>
  </si>
  <si>
    <t xml:space="preserve">Self-certification on supplier bills</t>
  </si>
  <si>
    <t xml:space="preserve">A director can create a BRM, certify it and mark it paid - all three, alone. This is the more consequential of the two, because it is the step that releases money to an outside party. Confirm it is intended, or take Projects Manager off the director accounts so that preparing a BRM requires Purchase.</t>
  </si>
  <si>
    <t xml:space="preserve">P-08, PC-06, A-05</t>
  </si>
  <si>
    <t xml:space="preserve">Change</t>
  </si>
  <si>
    <t xml:space="preserve">Reason (requirement IDs)</t>
  </si>
  <si>
    <t xml:space="preserve">Impact</t>
  </si>
  <si>
    <t xml:space="preserve">'MDF' resolved: Material Data File / material list prepared by Engineering after drawings are final. Modelled as Engineering BOM/MDF that generates Material Requests.</t>
  </si>
  <si>
    <t xml:space="preserve">Removes open question; no scope change</t>
  </si>
  <si>
    <t xml:space="preserve">New backbone object: PCC (Purchase Cost Calculation) sheet per Sales Order/Project, with revisions; POs checked against it; project MIS compares PCC vs actual.</t>
  </si>
  <si>
    <t xml:space="preserve">S-02, PC-03, P-09, PC-13, A-13</t>
  </si>
  <si>
    <t xml:space="preserve">+L custom item in P1; +M report in P2; drives MIS in P4</t>
  </si>
  <si>
    <t xml:space="preserve">New: Billing Routing Memo (BRM) — Procurement certifies supplier bills before Accounts pays. Register in P2 (Tally still books), gates Payment Entry from P4.</t>
  </si>
  <si>
    <t xml:space="preserve">+M custom in P2, +S validation in P4</t>
  </si>
  <si>
    <t xml:space="preserve">Delivery Instruction + Material Dispatch Memo + Annexure-I confirmed: suppliers ship direct to customer site on MSCAST instruction.</t>
  </si>
  <si>
    <t xml:space="preserve">PC-04, P-11, P-12</t>
  </si>
  <si>
    <t xml:space="preserve">Already in backlog; formats needed from MSCAST</t>
  </si>
  <si>
    <t xml:space="preserve">Added: additional client claims, Commissioning/Preliminary/Final certificates, Proforma invoice, retention supplementary invoice, SO↔PO↔invoice tracker.</t>
  </si>
  <si>
    <t xml:space="preserve">PR-07, PR-08, PC-17, PC-18, PC-19</t>
  </si>
  <si>
    <t xml:space="preserve">+S/M items in P3/P4</t>
  </si>
  <si>
    <t xml:space="preserve">Audit trail (India Compliance) switched on at site creation in P0, before any entry; custom Statutory Auditor role and read-only Director role.</t>
  </si>
  <si>
    <t xml:space="preserve">AC-01, AC-02, AC-06</t>
  </si>
  <si>
    <t xml:space="preserve">Config in P0; auditor role finalised in P4</t>
  </si>
  <si>
    <t xml:space="preserve">Data residency: Companies (Accounts) Rules require daily backups on servers in India — confirms Frappe Cloud Mumbai / India VPS; no foreign hosting. 8-year archival policy replaces 'vendor undertaking'.</t>
  </si>
  <si>
    <t xml:space="preserve">Strengthens decision D1; adds archival SOP</t>
  </si>
  <si>
    <t xml:space="preserve">Supplier MSME/Udyam fields captured from master-data load (P0/P2); 45-day MSME dues report (Form I, Schedule III, s.43B(h)) in P4.</t>
  </si>
  <si>
    <t xml:space="preserve">+M custom report</t>
  </si>
  <si>
    <t xml:space="preserve">Payroll with PF, ESI, PT and TDS is in scope (not optional). Decision D3 changed: india-payroll in P5 with two parallel payroll cycles; verify Maharashtra PT women-exemption fix is in v16 before go-live.</t>
  </si>
  <si>
    <t xml:space="preserve">M-01, AC-23</t>
  </si>
  <si>
    <t xml:space="preserve">P5 extended; bug check added to G5</t>
  </si>
  <si>
    <t xml:space="preserve">Biometric access-control integration added to P5 (ERP reads punches; door locking stays in the access system). Depends on device make/model.</t>
  </si>
  <si>
    <t xml:space="preserve">+M integration; may need small LAN sync agent</t>
  </si>
  <si>
    <t xml:space="preserve">Daily SMS to COO/CFO: recommend Email Digest + WhatsApp/Google Chat summary; SMS only as short DLT-template alert (new decision D7). Value alerts from P2, financial summary from P4.</t>
  </si>
  <si>
    <t xml:space="preserve">+M; channel decision needed</t>
  </si>
  <si>
    <t xml:space="preserve">New decision D6: project WIP valuation method (Work Order + WIP warehouse vs Project WIP account + JV), agreed with CA by gate G2 because it affects warehouse/account setup.</t>
  </si>
  <si>
    <t xml:space="preserve">Design task in P2/P3</t>
  </si>
  <si>
    <t xml:space="preserve">Fixed assets moved from P5 to P4 so the asset register (two finance books, CWIP, intangibles) is loaded with the 1 Apr 2027 opening balances.</t>
  </si>
  <si>
    <t xml:space="preserve">AC-12, AC-14, AC-15</t>
  </si>
  <si>
    <t xml:space="preserve">P4 heavier; P5 lighter</t>
  </si>
  <si>
    <t xml:space="preserve">Accounting standards: document lists Ind AS topics; MSCAST most likely reports under Companies (AS) Rules 2021 as an SMC. Notes to accounts stay with the CA. India Compliance Schedule III templates used for BS/P&amp;L.</t>
  </si>
  <si>
    <t xml:space="preserve">Clarify with CA in P0</t>
  </si>
  <si>
    <t xml:space="preserve">Engineering man-hours captured equipment-wise as well as project-wise (custom Equipment field on timesheets).</t>
  </si>
  <si>
    <t xml:space="preserve">+S in P1</t>
  </si>
  <si>
    <t xml:space="preserve">Timeline extended by ~5 weeks: P1 7 wks, P2 8 wks, P4 to end-May 2027, P5 Jun–Jul 2027 (payroll parallel runs). Custom/config build ≈28 person-weeks (Summary sheet) plus standard setup, migration, training and UAT: ≈35–45 person-weeks in total.</t>
  </si>
  <si>
    <t xml:space="preserve">See Summary sheet for effort by phase</t>
  </si>
</sst>
</file>

<file path=xl/styles.xml><?xml version="1.0" encoding="utf-8"?>
<styleSheet xmlns="http://schemas.openxmlformats.org/spreadsheetml/2006/main">
  <numFmts count="4">
    <numFmt numFmtId="164" formatCode="General"/>
    <numFmt numFmtId="165" formatCode="0.0%"/>
    <numFmt numFmtId="166" formatCode="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name val="Arial"/>
      <family val="0"/>
      <charset val="1"/>
    </font>
    <font>
      <i val="true"/>
      <sz val="9"/>
      <name val="Arial"/>
      <family val="0"/>
      <charset val="1"/>
    </font>
    <font>
      <sz val="11"/>
      <color rgb="FF0000FF"/>
      <name val="Arial"/>
      <family val="0"/>
      <charset val="1"/>
    </font>
    <font>
      <b val="true"/>
      <sz val="10"/>
      <color rgb="FFFFFFFF"/>
      <name val="Arial"/>
      <family val="0"/>
      <charset val="1"/>
    </font>
    <font>
      <b val="true"/>
      <sz val="13"/>
      <name val="Arial"/>
      <family val="0"/>
      <charset val="1"/>
    </font>
    <font>
      <b val="true"/>
      <sz val="12"/>
      <name val="Arial"/>
      <family val="0"/>
      <charset val="1"/>
    </font>
  </fonts>
  <fills count="13">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C6EFCE"/>
        <bgColor rgb="FFE2EFDA"/>
      </patternFill>
    </fill>
    <fill>
      <patternFill patternType="solid">
        <fgColor rgb="FFFFEB9C"/>
        <bgColor rgb="FFFFF2CC"/>
      </patternFill>
    </fill>
    <fill>
      <patternFill patternType="solid">
        <fgColor rgb="FFDDEBF7"/>
        <bgColor rgb="FFEDEDED"/>
      </patternFill>
    </fill>
    <fill>
      <patternFill patternType="solid">
        <fgColor rgb="FFFFC7CE"/>
        <bgColor rgb="FFF8CBAD"/>
      </patternFill>
    </fill>
    <fill>
      <patternFill patternType="solid">
        <fgColor rgb="FFEDEDED"/>
        <bgColor rgb="FFE2EFDA"/>
      </patternFill>
    </fill>
    <fill>
      <patternFill patternType="solid">
        <fgColor rgb="FFE2EFDA"/>
        <bgColor rgb="FFEDEDED"/>
      </patternFill>
    </fill>
    <fill>
      <patternFill patternType="solid">
        <fgColor rgb="FFFCE4D6"/>
        <bgColor rgb="FFFFF2CC"/>
      </patternFill>
    </fill>
    <fill>
      <patternFill patternType="solid">
        <fgColor rgb="FFF8CBAD"/>
        <bgColor rgb="FFFFC7CE"/>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6" fillId="8"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9"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10"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6" fillId="8" borderId="1" xfId="0" applyFont="true" applyBorder="true" applyAlignment="true" applyProtection="false">
      <alignment horizontal="general" vertical="top" textRotation="0" wrapText="true" indent="0" shrinkToFit="false"/>
      <protection locked="true" hidden="false"/>
    </xf>
    <xf numFmtId="164" fontId="6" fillId="9" borderId="0" xfId="0" applyFont="true" applyBorder="false" applyAlignment="tru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6" fillId="11" borderId="1" xfId="0" applyFont="true" applyBorder="true" applyAlignment="true" applyProtection="false">
      <alignment horizontal="general" vertical="top" textRotation="0" wrapText="true" indent="0" shrinkToFit="false"/>
      <protection locked="true" hidden="false"/>
    </xf>
    <xf numFmtId="164" fontId="6" fillId="12"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2EFDA"/>
      <rgbColor rgb="FFC6EFCE"/>
      <rgbColor rgb="FFFFEB9C"/>
      <rgbColor rgb="FFFCE4D6"/>
      <rgbColor rgb="FFFFC7CE"/>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2" activeCellId="0" sqref="E22"/>
    </sheetView>
  </sheetViews>
  <sheetFormatPr defaultColWidth="8.6796875" defaultRowHeight="15" zeroHeight="false" outlineLevelRow="0" outlineLevelCol="0"/>
  <cols>
    <col collapsed="false" customWidth="true" hidden="false" outlineLevel="0" max="1" min="1" style="1" width="140"/>
  </cols>
  <sheetData>
    <row r="1" customFormat="false" ht="18"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4" customFormat="false" ht="15" hidden="false" customHeight="true" outlineLevel="0" collapsed="false">
      <c r="A4" s="4" t="s">
        <v>3</v>
      </c>
    </row>
    <row r="5" customFormat="false" ht="15" hidden="false" customHeight="true" outlineLevel="0" collapsed="false">
      <c r="A5" s="4" t="s">
        <v>4</v>
      </c>
    </row>
    <row r="6" customFormat="false" ht="15" hidden="false" customHeight="true" outlineLevel="0" collapsed="false">
      <c r="A6" s="4"/>
    </row>
    <row r="7" customFormat="false" ht="15" hidden="false" customHeight="true" outlineLevel="0" collapsed="false">
      <c r="A7" s="4" t="s">
        <v>5</v>
      </c>
    </row>
    <row r="8" customFormat="false" ht="15" hidden="false" customHeight="true" outlineLevel="0" collapsed="false">
      <c r="A8" s="4" t="s">
        <v>6</v>
      </c>
    </row>
    <row r="9" customFormat="false" ht="15" hidden="false" customHeight="true" outlineLevel="0" collapsed="false">
      <c r="A9" s="4" t="s">
        <v>7</v>
      </c>
    </row>
    <row r="10" customFormat="false" ht="15" hidden="false" customHeight="true" outlineLevel="0" collapsed="false">
      <c r="A10" s="5" t="s">
        <v>8</v>
      </c>
    </row>
    <row r="11" customFormat="false" ht="15" hidden="false" customHeight="true" outlineLevel="0" collapsed="false">
      <c r="A11" s="4"/>
    </row>
    <row r="12" customFormat="false" ht="15" hidden="false" customHeight="true" outlineLevel="0" collapsed="false">
      <c r="A12" s="4" t="s">
        <v>9</v>
      </c>
    </row>
    <row r="13" customFormat="false" ht="15" hidden="false" customHeight="true" outlineLevel="0" collapsed="false">
      <c r="A13" s="4" t="s">
        <v>10</v>
      </c>
    </row>
    <row r="14" customFormat="false" ht="15" hidden="false" customHeight="true" outlineLevel="0" collapsed="false">
      <c r="A14" s="5"/>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row>
    <row r="18" customFormat="false" ht="15" hidden="false" customHeight="true" outlineLevel="0" collapsed="false">
      <c r="A18" s="4" t="s">
        <v>13</v>
      </c>
    </row>
    <row r="19" customFormat="false" ht="15" hidden="false" customHeight="true" outlineLevel="0" collapsed="false">
      <c r="A19" s="4" t="s">
        <v>14</v>
      </c>
    </row>
    <row r="20" customFormat="false" ht="15" hidden="false" customHeight="true" outlineLevel="0" collapsed="false">
      <c r="A20" s="4" t="s">
        <v>15</v>
      </c>
    </row>
    <row r="21" customFormat="false" ht="15" hidden="false" customHeight="true" outlineLevel="0" collapsed="false">
      <c r="A21" s="4"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I22" activeCellId="0" sqref="I22"/>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3" min="3" style="1" width="16"/>
    <col collapsed="false" customWidth="true" hidden="false" outlineLevel="0" max="5" min="4" style="1" width="12"/>
  </cols>
  <sheetData>
    <row r="1" customFormat="false" ht="18" hidden="false" customHeight="true" outlineLevel="0" collapsed="false">
      <c r="A1" s="2" t="s">
        <v>21</v>
      </c>
    </row>
    <row r="2" customFormat="false" ht="15" hidden="false" customHeight="true" outlineLevel="0" collapsed="false">
      <c r="A2" s="6" t="s">
        <v>22</v>
      </c>
    </row>
    <row r="4" customFormat="false" ht="15" hidden="false" customHeight="true" outlineLevel="0" collapsed="false">
      <c r="A4" s="5" t="s">
        <v>23</v>
      </c>
    </row>
    <row r="5" customFormat="false" ht="15" hidden="false" customHeight="true" outlineLevel="0" collapsed="false">
      <c r="A5" s="4" t="s">
        <v>24</v>
      </c>
      <c r="B5" s="7" t="n">
        <v>1.5</v>
      </c>
      <c r="C5" s="6" t="s">
        <v>25</v>
      </c>
    </row>
    <row r="6" customFormat="false" ht="15" hidden="false" customHeight="true" outlineLevel="0" collapsed="false">
      <c r="A6" s="4" t="s">
        <v>26</v>
      </c>
      <c r="B6" s="7" t="n">
        <v>4.5</v>
      </c>
    </row>
    <row r="7" customFormat="false" ht="15" hidden="false" customHeight="true" outlineLevel="0" collapsed="false">
      <c r="A7" s="4" t="s">
        <v>27</v>
      </c>
      <c r="B7" s="7" t="n">
        <v>9.5</v>
      </c>
    </row>
    <row r="9" customFormat="false" ht="15" hidden="false" customHeight="true" outlineLevel="0" collapsed="false">
      <c r="A9" s="5" t="s">
        <v>28</v>
      </c>
    </row>
    <row r="10" customFormat="false" ht="15" hidden="false" customHeight="true" outlineLevel="0" collapsed="false">
      <c r="A10" s="8" t="s">
        <v>29</v>
      </c>
      <c r="B10" s="8" t="s">
        <v>30</v>
      </c>
      <c r="C10" s="8" t="s">
        <v>31</v>
      </c>
    </row>
    <row r="11" customFormat="false" ht="15" hidden="false" customHeight="true" outlineLevel="0" collapsed="false">
      <c r="A11" s="9" t="s">
        <v>32</v>
      </c>
      <c r="B11" s="4" t="n">
        <f aca="false">COUNTIF(Matrix!$L$2:$L$98,A11)</f>
        <v>97</v>
      </c>
      <c r="C11" s="10" t="n">
        <f aca="false">IF($B$16=0,0,B11/$B$16)</f>
        <v>1</v>
      </c>
    </row>
    <row r="12" customFormat="false" ht="15" hidden="false" customHeight="true" outlineLevel="0" collapsed="false">
      <c r="A12" s="11" t="s">
        <v>33</v>
      </c>
      <c r="B12" s="4" t="n">
        <f aca="false">COUNTIF(Matrix!$L$2:$L$98,A12)</f>
        <v>0</v>
      </c>
      <c r="C12" s="10" t="n">
        <f aca="false">IF($B$16=0,0,B12/$B$16)</f>
        <v>0</v>
      </c>
    </row>
    <row r="13" customFormat="false" ht="15" hidden="false" customHeight="true" outlineLevel="0" collapsed="false">
      <c r="A13" s="12" t="s">
        <v>34</v>
      </c>
      <c r="B13" s="4" t="n">
        <f aca="false">COUNTIF(Matrix!$L$2:$L$98,A13)</f>
        <v>0</v>
      </c>
      <c r="C13" s="10" t="n">
        <f aca="false">IF($B$16=0,0,B13/$B$16)</f>
        <v>0</v>
      </c>
    </row>
    <row r="14" customFormat="false" ht="15" hidden="false" customHeight="true" outlineLevel="0" collapsed="false">
      <c r="A14" s="13" t="s">
        <v>35</v>
      </c>
      <c r="B14" s="4" t="n">
        <f aca="false">COUNTIF(Matrix!$L$2:$L$98,A14)</f>
        <v>0</v>
      </c>
      <c r="C14" s="10" t="n">
        <f aca="false">IF($B$16=0,0,B14/$B$16)</f>
        <v>0</v>
      </c>
    </row>
    <row r="15" customFormat="false" ht="15" hidden="false" customHeight="true" outlineLevel="0" collapsed="false">
      <c r="A15" s="14" t="s">
        <v>36</v>
      </c>
      <c r="B15" s="4" t="n">
        <f aca="false">COUNTIF(Matrix!$L$2:$L$98,A15)</f>
        <v>0</v>
      </c>
      <c r="C15" s="10" t="n">
        <f aca="false">IF($B$16=0,0,B15/$B$16)</f>
        <v>0</v>
      </c>
    </row>
    <row r="16" customFormat="false" ht="15" hidden="false" customHeight="true" outlineLevel="0" collapsed="false">
      <c r="A16" s="5" t="s">
        <v>37</v>
      </c>
      <c r="B16" s="5" t="n">
        <f aca="false">SUM(B11:B15)</f>
        <v>97</v>
      </c>
    </row>
    <row r="17" customFormat="false" ht="15" hidden="false" customHeight="true" outlineLevel="0" collapsed="false">
      <c r="A17" s="6" t="str">
        <f aca="false">"All 97 requirements live · "&amp;TEXT(B11/B16,"0.0%")&amp;" of the matrix"</f>
        <v>All 97 requirements live · 100.0% of the matrix</v>
      </c>
    </row>
    <row r="19" customFormat="false" ht="15" hidden="false" customHeight="true" outlineLevel="0" collapsed="false">
      <c r="A19" s="5" t="s">
        <v>38</v>
      </c>
    </row>
    <row r="20" customFormat="false" ht="15" hidden="false" customHeight="true" outlineLevel="0" collapsed="false">
      <c r="A20" s="8" t="s">
        <v>39</v>
      </c>
      <c r="B20" s="8" t="s">
        <v>30</v>
      </c>
      <c r="C20" s="8" t="s">
        <v>32</v>
      </c>
      <c r="D20" s="8" t="s">
        <v>40</v>
      </c>
      <c r="E20" s="8" t="s">
        <v>41</v>
      </c>
    </row>
    <row r="21" customFormat="false" ht="15" hidden="false" customHeight="true" outlineLevel="0" collapsed="false">
      <c r="A21" s="4" t="s">
        <v>42</v>
      </c>
      <c r="B21" s="4" t="n">
        <f aca="false">COUNTIF(Matrix!$G$2:$G$98,A21)</f>
        <v>48</v>
      </c>
      <c r="C21" s="4" t="n">
        <f aca="false">COUNTIFS(Matrix!$G$2:$G$98,A21,Matrix!$L$2:$L$98,"Live in POC")</f>
        <v>48</v>
      </c>
      <c r="D21" s="4" t="n">
        <f aca="false">COUNTIFS(Matrix!$G$2:$G$98,A21,Matrix!$L$2:$L$98,"Partly in POC")</f>
        <v>0</v>
      </c>
      <c r="E21" s="4" t="n">
        <f aca="false">B21-C21-D21</f>
        <v>0</v>
      </c>
    </row>
    <row r="22" customFormat="false" ht="15" hidden="false" customHeight="true" outlineLevel="0" collapsed="false">
      <c r="A22" s="4" t="s">
        <v>43</v>
      </c>
      <c r="B22" s="4" t="n">
        <f aca="false">COUNTIF(Matrix!$G$2:$G$98,A22)</f>
        <v>23</v>
      </c>
      <c r="C22" s="4" t="n">
        <f aca="false">COUNTIFS(Matrix!$G$2:$G$98,A22,Matrix!$L$2:$L$98,"Live in POC")</f>
        <v>23</v>
      </c>
      <c r="D22" s="4" t="n">
        <f aca="false">COUNTIFS(Matrix!$G$2:$G$98,A22,Matrix!$L$2:$L$98,"Partly in POC")</f>
        <v>0</v>
      </c>
      <c r="E22" s="4" t="n">
        <f aca="false">B22-C22-D22</f>
        <v>0</v>
      </c>
    </row>
    <row r="23" customFormat="false" ht="15" hidden="false" customHeight="true" outlineLevel="0" collapsed="false">
      <c r="A23" s="4" t="s">
        <v>44</v>
      </c>
      <c r="B23" s="4" t="n">
        <f aca="false">COUNTIF(Matrix!$G$2:$G$98,A23)</f>
        <v>22</v>
      </c>
      <c r="C23" s="4" t="n">
        <f aca="false">COUNTIFS(Matrix!$G$2:$G$98,A23,Matrix!$L$2:$L$98,"Live in POC")</f>
        <v>22</v>
      </c>
      <c r="D23" s="4" t="n">
        <f aca="false">COUNTIFS(Matrix!$G$2:$G$98,A23,Matrix!$L$2:$L$98,"Partly in POC")</f>
        <v>0</v>
      </c>
      <c r="E23" s="4" t="n">
        <f aca="false">B23-C23-D23</f>
        <v>0</v>
      </c>
    </row>
    <row r="24" customFormat="false" ht="15" hidden="false" customHeight="true" outlineLevel="0" collapsed="false">
      <c r="A24" s="4" t="s">
        <v>45</v>
      </c>
      <c r="B24" s="4" t="n">
        <f aca="false">COUNTIF(Matrix!$G$2:$G$98,A24)</f>
        <v>1</v>
      </c>
      <c r="C24" s="4" t="n">
        <f aca="false">COUNTIFS(Matrix!$G$2:$G$98,A24,Matrix!$L$2:$L$98,"Live in POC")</f>
        <v>1</v>
      </c>
      <c r="D24" s="4" t="n">
        <f aca="false">COUNTIFS(Matrix!$G$2:$G$98,A24,Matrix!$L$2:$L$98,"Partly in POC")</f>
        <v>0</v>
      </c>
      <c r="E24" s="4" t="n">
        <f aca="false">B24-C24-D24</f>
        <v>0</v>
      </c>
    </row>
    <row r="25" customFormat="false" ht="15" hidden="false" customHeight="true" outlineLevel="0" collapsed="false">
      <c r="A25" s="4" t="s">
        <v>46</v>
      </c>
      <c r="B25" s="4" t="n">
        <f aca="false">COUNTIF(Matrix!$G$2:$G$98,A25)</f>
        <v>1</v>
      </c>
      <c r="C25" s="4" t="n">
        <f aca="false">COUNTIFS(Matrix!$G$2:$G$98,A25,Matrix!$L$2:$L$98,"Live in POC")</f>
        <v>1</v>
      </c>
      <c r="D25" s="4" t="n">
        <f aca="false">COUNTIFS(Matrix!$G$2:$G$98,A25,Matrix!$L$2:$L$98,"Partly in POC")</f>
        <v>0</v>
      </c>
      <c r="E25" s="4" t="n">
        <f aca="false">B25-C25-D25</f>
        <v>0</v>
      </c>
    </row>
    <row r="26" customFormat="false" ht="15" hidden="false" customHeight="true" outlineLevel="0" collapsed="false">
      <c r="A26" s="4" t="s">
        <v>47</v>
      </c>
      <c r="B26" s="4" t="n">
        <f aca="false">COUNTIF(Matrix!$G$2:$G$98,A26)</f>
        <v>2</v>
      </c>
      <c r="C26" s="4" t="n">
        <f aca="false">COUNTIFS(Matrix!$G$2:$G$98,A26,Matrix!$L$2:$L$98,"Live in POC")</f>
        <v>2</v>
      </c>
      <c r="D26" s="4" t="n">
        <f aca="false">COUNTIFS(Matrix!$G$2:$G$98,A26,Matrix!$L$2:$L$98,"Partly in POC")</f>
        <v>0</v>
      </c>
      <c r="E26" s="4" t="n">
        <f aca="false">B26-C26-D26</f>
        <v>0</v>
      </c>
    </row>
    <row r="27" customFormat="false" ht="15" hidden="false" customHeight="true" outlineLevel="0" collapsed="false">
      <c r="A27" s="5" t="s">
        <v>37</v>
      </c>
      <c r="B27" s="5" t="n">
        <f aca="false">B21+B22+B23+B24+B25+B26</f>
        <v>97</v>
      </c>
      <c r="C27" s="5" t="n">
        <f aca="false">C21+C22+C23+C24+C25+C26</f>
        <v>97</v>
      </c>
      <c r="D27" s="5" t="n">
        <f aca="false">D21+D22+D23+D24+D25+D26</f>
        <v>0</v>
      </c>
      <c r="E27" s="5" t="n">
        <f aca="false">E21+E22+E23+E24+E25+E26</f>
        <v>0</v>
      </c>
    </row>
    <row r="30" customFormat="false" ht="15" hidden="false" customHeight="true" outlineLevel="0" collapsed="false">
      <c r="A30" s="5" t="s">
        <v>48</v>
      </c>
    </row>
    <row r="31" customFormat="false" ht="15" hidden="false" customHeight="true" outlineLevel="0" collapsed="false">
      <c r="A31" s="8" t="s">
        <v>49</v>
      </c>
      <c r="B31" s="8" t="s">
        <v>30</v>
      </c>
      <c r="C31" s="8" t="s">
        <v>50</v>
      </c>
    </row>
    <row r="32" customFormat="false" ht="15" hidden="false" customHeight="true" outlineLevel="0" collapsed="false">
      <c r="A32" s="4" t="s">
        <v>51</v>
      </c>
      <c r="B32" s="4" t="n">
        <f aca="false">COUNTIF(Matrix!$K$2:$K$98,"Yes*")</f>
        <v>48</v>
      </c>
      <c r="C32" s="4" t="n">
        <f aca="false">COUNTIFS(Matrix!$K$2:$K$98,"Yes*",Matrix!$L$2:$L$98,"Live in POC")</f>
        <v>48</v>
      </c>
    </row>
    <row r="33" customFormat="false" ht="15" hidden="false" customHeight="true" outlineLevel="0" collapsed="false">
      <c r="A33" s="4" t="s">
        <v>40</v>
      </c>
      <c r="B33" s="4" t="n">
        <f aca="false">COUNTIF(Matrix!$K$2:$K$98,"Partly*")</f>
        <v>18</v>
      </c>
      <c r="C33" s="4" t="n">
        <f aca="false">COUNTIFS(Matrix!$K$2:$K$98,"Partly*",Matrix!$L$2:$L$98,"Live in POC")</f>
        <v>18</v>
      </c>
    </row>
    <row r="34" customFormat="false" ht="15" hidden="false" customHeight="true" outlineLevel="0" collapsed="false">
      <c r="A34" s="4" t="s">
        <v>52</v>
      </c>
      <c r="B34" s="4" t="n">
        <f aca="false">COUNTIF(Matrix!$K$2:$K$98,"No*")</f>
        <v>31</v>
      </c>
      <c r="C34" s="4" t="n">
        <f aca="false">COUNTIFS(Matrix!$K$2:$K$98,"No*",Matrix!$L$2:$L$98,"Live in POC")</f>
        <v>31</v>
      </c>
    </row>
    <row r="36" customFormat="false" ht="15" hidden="false" customHeight="true" outlineLevel="0" collapsed="false">
      <c r="A36" s="5" t="s">
        <v>53</v>
      </c>
    </row>
    <row r="37" customFormat="false" ht="15" hidden="false" customHeight="true" outlineLevel="0" collapsed="false">
      <c r="A37" s="8" t="s">
        <v>54</v>
      </c>
      <c r="B37" s="8" t="s">
        <v>55</v>
      </c>
      <c r="C37" s="8" t="s">
        <v>56</v>
      </c>
    </row>
    <row r="38" customFormat="false" ht="15" hidden="false" customHeight="true" outlineLevel="0" collapsed="false">
      <c r="A38" s="4" t="s">
        <v>57</v>
      </c>
      <c r="B38" s="4" t="n">
        <f aca="false">COUNTIFS(Matrix!$I$2:$I$98,A38,Matrix!$L$2:$L$98,"&lt;&gt;Live in POC",Matrix!$G$2:$G$98,"&lt;&gt;Standard")</f>
        <v>0</v>
      </c>
      <c r="C38" s="15" t="e">
        <f aca="false">COUNTIFS(Matrix!$I$2:$I$98,A38,Matrix!$J$2:$J$98,"S",Matrix!$L$2:$L$98,"&lt;&gt;Live in POC",Matrix!$G$2:$G$98,"Custom")$B$5+COUNTIFS(Matrix!$I$2:$I$98,A38,Matrix!$J$2:$J$98,"S",Matrix!$L$2:$L$98,"&lt;&gt;Live in POC",Matrix!$G$2:$G$98,"Config")$B$5+COUNTIFS(Matrix!$I$2:$I$98,A38,Matrix!$J$2:$J$98,"S",Matrix!$L$2:$L$98,"&lt;&gt;Live in POC",Matrix!$G$2:$G$98,"Integration")$B$5+COUNTIFS(Matrix!$I$2:$I$98,A38,Matrix!$J$2:$J$98,"M",Matrix!$L$2:$L$98,"&lt;&gt;Live in POC",Matrix!$G$2:$G$98,"Custom")$B$6+COUNTIFS(Matrix!$I$2:$I$98,A38,Matrix!$J$2:$J$98,"M",Matrix!$L$2:$L$98,"&lt;&gt;Live in POC",Matrix!$G$2:$G$98,"Config")$B$6+COUNTIFS(Matrix!$I$2:$I$98,A38,Matrix!$J$2:$J$98,"M",Matrix!$L$2:$L$98,"&lt;&gt;Live in POC",Matrix!$G$2:$G$98,"Integration")$B$6+COUNTIFS(Matrix!$I$2:$I$98,A38,Matrix!$J$2:$J$98,"L",Matrix!$L$2:$L$98,"&lt;&gt;Live in POC",Matrix!$G$2:$G$98,"Custom")$B$7+COUNTIFS(Matrix!$I$2:$I$98,A38,Matrix!$J$2:$J$98,"L",Matrix!$L$2:$L$98,"&lt;&gt;Live in POC",Matrix!$G$2:$G$98,"Config")$B$7+COUNTIFS(Matrix!$I$2:$I$98,A38,Matrix!$J$2:$J$98,"L",Matrix!$L$2:$L$98,"&lt;&gt;Live in POC",Matrix!$G$2:$G$98,"Integration")*$B$7</f>
        <v>#VALUE!</v>
      </c>
    </row>
    <row r="39" customFormat="false" ht="15" hidden="false" customHeight="true" outlineLevel="0" collapsed="false">
      <c r="A39" s="4" t="s">
        <v>58</v>
      </c>
      <c r="B39" s="4" t="n">
        <f aca="false">COUNTIFS(Matrix!$I$2:$I$98,A39,Matrix!$L$2:$L$98,"&lt;&gt;Live in POC",Matrix!$G$2:$G$98,"&lt;&gt;Standard")</f>
        <v>0</v>
      </c>
      <c r="C39" s="15" t="e">
        <f aca="false">COUNTIFS(Matrix!$I$2:$I$98,A39,Matrix!$J$2:$J$98,"S",Matrix!$L$2:$L$98,"&lt;&gt;Live in POC",Matrix!$G$2:$G$98,"Custom")$B$5+COUNTIFS(Matrix!$I$2:$I$98,A39,Matrix!$J$2:$J$98,"S",Matrix!$L$2:$L$98,"&lt;&gt;Live in POC",Matrix!$G$2:$G$98,"Config")$B$5+COUNTIFS(Matrix!$I$2:$I$98,A39,Matrix!$J$2:$J$98,"S",Matrix!$L$2:$L$98,"&lt;&gt;Live in POC",Matrix!$G$2:$G$98,"Integration")$B$5+COUNTIFS(Matrix!$I$2:$I$98,A39,Matrix!$J$2:$J$98,"M",Matrix!$L$2:$L$98,"&lt;&gt;Live in POC",Matrix!$G$2:$G$98,"Custom")$B$6+COUNTIFS(Matrix!$I$2:$I$98,A39,Matrix!$J$2:$J$98,"M",Matrix!$L$2:$L$98,"&lt;&gt;Live in POC",Matrix!$G$2:$G$98,"Config")$B$6+COUNTIFS(Matrix!$I$2:$I$98,A39,Matrix!$J$2:$J$98,"M",Matrix!$L$2:$L$98,"&lt;&gt;Live in POC",Matrix!$G$2:$G$98,"Integration")$B$6+COUNTIFS(Matrix!$I$2:$I$98,A39,Matrix!$J$2:$J$98,"L",Matrix!$L$2:$L$98,"&lt;&gt;Live in POC",Matrix!$G$2:$G$98,"Custom")$B$7+COUNTIFS(Matrix!$I$2:$I$98,A39,Matrix!$J$2:$J$98,"L",Matrix!$L$2:$L$98,"&lt;&gt;Live in POC",Matrix!$G$2:$G$98,"Config")$B$7+COUNTIFS(Matrix!$I$2:$I$98,A39,Matrix!$J$2:$J$98,"L",Matrix!$L$2:$L$98,"&lt;&gt;Live in POC",Matrix!$G$2:$G$98,"Integration")*$B$7</f>
        <v>#VALUE!</v>
      </c>
    </row>
    <row r="40" customFormat="false" ht="15" hidden="false" customHeight="true" outlineLevel="0" collapsed="false">
      <c r="A40" s="4" t="s">
        <v>59</v>
      </c>
      <c r="B40" s="4" t="n">
        <f aca="false">COUNTIFS(Matrix!$I$2:$I$98,A40,Matrix!$L$2:$L$98,"&lt;&gt;Live in POC",Matrix!$G$2:$G$98,"&lt;&gt;Standard")</f>
        <v>0</v>
      </c>
      <c r="C40" s="15" t="e">
        <f aca="false">COUNTIFS(Matrix!$I$2:$I$98,A40,Matrix!$J$2:$J$98,"S",Matrix!$L$2:$L$98,"&lt;&gt;Live in POC",Matrix!$G$2:$G$98,"Custom")$B$5+COUNTIFS(Matrix!$I$2:$I$98,A40,Matrix!$J$2:$J$98,"S",Matrix!$L$2:$L$98,"&lt;&gt;Live in POC",Matrix!$G$2:$G$98,"Config")$B$5+COUNTIFS(Matrix!$I$2:$I$98,A40,Matrix!$J$2:$J$98,"S",Matrix!$L$2:$L$98,"&lt;&gt;Live in POC",Matrix!$G$2:$G$98,"Integration")$B$5+COUNTIFS(Matrix!$I$2:$I$98,A40,Matrix!$J$2:$J$98,"M",Matrix!$L$2:$L$98,"&lt;&gt;Live in POC",Matrix!$G$2:$G$98,"Custom")$B$6+COUNTIFS(Matrix!$I$2:$I$98,A40,Matrix!$J$2:$J$98,"M",Matrix!$L$2:$L$98,"&lt;&gt;Live in POC",Matrix!$G$2:$G$98,"Config")$B$6+COUNTIFS(Matrix!$I$2:$I$98,A40,Matrix!$J$2:$J$98,"M",Matrix!$L$2:$L$98,"&lt;&gt;Live in POC",Matrix!$G$2:$G$98,"Integration")$B$6+COUNTIFS(Matrix!$I$2:$I$98,A40,Matrix!$J$2:$J$98,"L",Matrix!$L$2:$L$98,"&lt;&gt;Live in POC",Matrix!$G$2:$G$98,"Custom")$B$7+COUNTIFS(Matrix!$I$2:$I$98,A40,Matrix!$J$2:$J$98,"L",Matrix!$L$2:$L$98,"&lt;&gt;Live in POC",Matrix!$G$2:$G$98,"Config")$B$7+COUNTIFS(Matrix!$I$2:$I$98,A40,Matrix!$J$2:$J$98,"L",Matrix!$L$2:$L$98,"&lt;&gt;Live in POC",Matrix!$G$2:$G$98,"Integration")*$B$7</f>
        <v>#VALUE!</v>
      </c>
    </row>
    <row r="41" customFormat="false" ht="15" hidden="false" customHeight="true" outlineLevel="0" collapsed="false">
      <c r="A41" s="4" t="s">
        <v>60</v>
      </c>
      <c r="B41" s="4" t="n">
        <f aca="false">COUNTIFS(Matrix!$I$2:$I$98,A41,Matrix!$L$2:$L$98,"&lt;&gt;Live in POC",Matrix!$G$2:$G$98,"&lt;&gt;Standard")</f>
        <v>0</v>
      </c>
      <c r="C41" s="15" t="e">
        <f aca="false">COUNTIFS(Matrix!$I$2:$I$98,A41,Matrix!$J$2:$J$98,"S",Matrix!$L$2:$L$98,"&lt;&gt;Live in POC",Matrix!$G$2:$G$98,"Custom")$B$5+COUNTIFS(Matrix!$I$2:$I$98,A41,Matrix!$J$2:$J$98,"S",Matrix!$L$2:$L$98,"&lt;&gt;Live in POC",Matrix!$G$2:$G$98,"Config")$B$5+COUNTIFS(Matrix!$I$2:$I$98,A41,Matrix!$J$2:$J$98,"S",Matrix!$L$2:$L$98,"&lt;&gt;Live in POC",Matrix!$G$2:$G$98,"Integration")$B$5+COUNTIFS(Matrix!$I$2:$I$98,A41,Matrix!$J$2:$J$98,"M",Matrix!$L$2:$L$98,"&lt;&gt;Live in POC",Matrix!$G$2:$G$98,"Custom")$B$6+COUNTIFS(Matrix!$I$2:$I$98,A41,Matrix!$J$2:$J$98,"M",Matrix!$L$2:$L$98,"&lt;&gt;Live in POC",Matrix!$G$2:$G$98,"Config")$B$6+COUNTIFS(Matrix!$I$2:$I$98,A41,Matrix!$J$2:$J$98,"M",Matrix!$L$2:$L$98,"&lt;&gt;Live in POC",Matrix!$G$2:$G$98,"Integration")$B$6+COUNTIFS(Matrix!$I$2:$I$98,A41,Matrix!$J$2:$J$98,"L",Matrix!$L$2:$L$98,"&lt;&gt;Live in POC",Matrix!$G$2:$G$98,"Custom")$B$7+COUNTIFS(Matrix!$I$2:$I$98,A41,Matrix!$J$2:$J$98,"L",Matrix!$L$2:$L$98,"&lt;&gt;Live in POC",Matrix!$G$2:$G$98,"Config")$B$7+COUNTIFS(Matrix!$I$2:$I$98,A41,Matrix!$J$2:$J$98,"L",Matrix!$L$2:$L$98,"&lt;&gt;Live in POC",Matrix!$G$2:$G$98,"Integration")*$B$7</f>
        <v>#VALUE!</v>
      </c>
    </row>
    <row r="42" customFormat="false" ht="15" hidden="false" customHeight="true" outlineLevel="0" collapsed="false">
      <c r="A42" s="4" t="s">
        <v>61</v>
      </c>
      <c r="B42" s="4" t="n">
        <f aca="false">COUNTIFS(Matrix!$I$2:$I$98,A42,Matrix!$L$2:$L$98,"&lt;&gt;Live in POC",Matrix!$G$2:$G$98,"&lt;&gt;Standard")</f>
        <v>0</v>
      </c>
      <c r="C42" s="15" t="e">
        <f aca="false">COUNTIFS(Matrix!$I$2:$I$98,A42,Matrix!$J$2:$J$98,"S",Matrix!$L$2:$L$98,"&lt;&gt;Live in POC",Matrix!$G$2:$G$98,"Custom")$B$5+COUNTIFS(Matrix!$I$2:$I$98,A42,Matrix!$J$2:$J$98,"S",Matrix!$L$2:$L$98,"&lt;&gt;Live in POC",Matrix!$G$2:$G$98,"Config")$B$5+COUNTIFS(Matrix!$I$2:$I$98,A42,Matrix!$J$2:$J$98,"S",Matrix!$L$2:$L$98,"&lt;&gt;Live in POC",Matrix!$G$2:$G$98,"Integration")$B$5+COUNTIFS(Matrix!$I$2:$I$98,A42,Matrix!$J$2:$J$98,"M",Matrix!$L$2:$L$98,"&lt;&gt;Live in POC",Matrix!$G$2:$G$98,"Custom")$B$6+COUNTIFS(Matrix!$I$2:$I$98,A42,Matrix!$J$2:$J$98,"M",Matrix!$L$2:$L$98,"&lt;&gt;Live in POC",Matrix!$G$2:$G$98,"Config")$B$6+COUNTIFS(Matrix!$I$2:$I$98,A42,Matrix!$J$2:$J$98,"M",Matrix!$L$2:$L$98,"&lt;&gt;Live in POC",Matrix!$G$2:$G$98,"Integration")$B$6+COUNTIFS(Matrix!$I$2:$I$98,A42,Matrix!$J$2:$J$98,"L",Matrix!$L$2:$L$98,"&lt;&gt;Live in POC",Matrix!$G$2:$G$98,"Custom")$B$7+COUNTIFS(Matrix!$I$2:$I$98,A42,Matrix!$J$2:$J$98,"L",Matrix!$L$2:$L$98,"&lt;&gt;Live in POC",Matrix!$G$2:$G$98,"Config")$B$7+COUNTIFS(Matrix!$I$2:$I$98,A42,Matrix!$J$2:$J$98,"L",Matrix!$L$2:$L$98,"&lt;&gt;Live in POC",Matrix!$G$2:$G$98,"Integration")*$B$7</f>
        <v>#VALUE!</v>
      </c>
    </row>
    <row r="43" customFormat="false" ht="15" hidden="false" customHeight="true" outlineLevel="0" collapsed="false">
      <c r="A43" s="4" t="s">
        <v>62</v>
      </c>
      <c r="B43" s="4" t="n">
        <f aca="false">COUNTIFS(Matrix!$I$2:$I$98,A43,Matrix!$L$2:$L$98,"&lt;&gt;Live in POC",Matrix!$G$2:$G$98,"&lt;&gt;Standard")</f>
        <v>0</v>
      </c>
      <c r="C43" s="15" t="e">
        <f aca="false">COUNTIFS(Matrix!$I$2:$I$98,A43,Matrix!$J$2:$J$98,"S",Matrix!$L$2:$L$98,"&lt;&gt;Live in POC",Matrix!$G$2:$G$98,"Custom")$B$5+COUNTIFS(Matrix!$I$2:$I$98,A43,Matrix!$J$2:$J$98,"S",Matrix!$L$2:$L$98,"&lt;&gt;Live in POC",Matrix!$G$2:$G$98,"Config")$B$5+COUNTIFS(Matrix!$I$2:$I$98,A43,Matrix!$J$2:$J$98,"S",Matrix!$L$2:$L$98,"&lt;&gt;Live in POC",Matrix!$G$2:$G$98,"Integration")$B$5+COUNTIFS(Matrix!$I$2:$I$98,A43,Matrix!$J$2:$J$98,"M",Matrix!$L$2:$L$98,"&lt;&gt;Live in POC",Matrix!$G$2:$G$98,"Custom")$B$6+COUNTIFS(Matrix!$I$2:$I$98,A43,Matrix!$J$2:$J$98,"M",Matrix!$L$2:$L$98,"&lt;&gt;Live in POC",Matrix!$G$2:$G$98,"Config")$B$6+COUNTIFS(Matrix!$I$2:$I$98,A43,Matrix!$J$2:$J$98,"M",Matrix!$L$2:$L$98,"&lt;&gt;Live in POC",Matrix!$G$2:$G$98,"Integration")$B$6+COUNTIFS(Matrix!$I$2:$I$98,A43,Matrix!$J$2:$J$98,"L",Matrix!$L$2:$L$98,"&lt;&gt;Live in POC",Matrix!$G$2:$G$98,"Custom")$B$7+COUNTIFS(Matrix!$I$2:$I$98,A43,Matrix!$J$2:$J$98,"L",Matrix!$L$2:$L$98,"&lt;&gt;Live in POC",Matrix!$G$2:$G$98,"Config")$B$7+COUNTIFS(Matrix!$I$2:$I$98,A43,Matrix!$J$2:$J$98,"L",Matrix!$L$2:$L$98,"&lt;&gt;Live in POC",Matrix!$G$2:$G$98,"Integration")*$B$7</f>
        <v>#VALUE!</v>
      </c>
    </row>
    <row r="44" customFormat="false" ht="15" hidden="false" customHeight="true" outlineLevel="0" collapsed="false">
      <c r="A44" s="5" t="s">
        <v>37</v>
      </c>
      <c r="B44" s="5" t="n">
        <f aca="false">SUM(B38:B43)</f>
        <v>0</v>
      </c>
      <c r="C44" s="16" t="e">
        <f aca="false">SUM(C38:C43)</f>
        <v>#VALUE!</v>
      </c>
    </row>
    <row r="45" customFormat="false" ht="15" hidden="false" customHeight="true" outlineLevel="0" collapsed="false">
      <c r="A45" s="6" t="e">
        <f aca="false">"≈ "&amp;TEXT(C44/5,"0.0")&amp;" person-weeks of build/config still open after the POC"</f>
        <v>#VALUE!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0"/>
    <col collapsed="false" customWidth="true" hidden="false" outlineLevel="0" max="3" min="3" style="1" width="62"/>
    <col collapsed="false" customWidth="true" hidden="false" outlineLevel="0" max="4" min="4" style="1" width="20"/>
    <col collapsed="false" customWidth="true" hidden="false" outlineLevel="0" max="5" min="5" style="1" width="22"/>
    <col collapsed="false" customWidth="true" hidden="false" outlineLevel="0" max="6" min="6" style="1" width="10"/>
    <col collapsed="false" customWidth="true" hidden="false" outlineLevel="0" max="7" min="7" style="1" width="40"/>
    <col collapsed="false" customWidth="true" hidden="false" outlineLevel="0" max="8" min="8" style="1" width="14"/>
  </cols>
  <sheetData>
    <row r="1" customFormat="false" ht="16.5" hidden="false" customHeight="true" outlineLevel="0" collapsed="false">
      <c r="A1" s="17" t="s">
        <v>63</v>
      </c>
    </row>
    <row r="2" customFormat="false" ht="15" hidden="false" customHeight="true" outlineLevel="0" collapsed="false">
      <c r="A2" s="6" t="s">
        <v>64</v>
      </c>
    </row>
    <row r="4" customFormat="false" ht="15" hidden="false" customHeight="true" outlineLevel="0" collapsed="false">
      <c r="A4" s="18" t="s">
        <v>65</v>
      </c>
      <c r="B4" s="18" t="s">
        <v>66</v>
      </c>
      <c r="C4" s="18" t="s">
        <v>67</v>
      </c>
      <c r="D4" s="18" t="s">
        <v>68</v>
      </c>
      <c r="E4" s="18" t="s">
        <v>69</v>
      </c>
      <c r="F4" s="18" t="s">
        <v>70</v>
      </c>
      <c r="G4" s="18" t="s">
        <v>71</v>
      </c>
      <c r="H4" s="18" t="s">
        <v>72</v>
      </c>
    </row>
    <row r="5" customFormat="false" ht="25.5" hidden="false" customHeight="true" outlineLevel="0" collapsed="false">
      <c r="A5" s="19" t="n">
        <v>1</v>
      </c>
      <c r="B5" s="20" t="s">
        <v>73</v>
      </c>
      <c r="C5" s="19" t="s">
        <v>74</v>
      </c>
      <c r="D5" s="19" t="s">
        <v>75</v>
      </c>
      <c r="E5" s="19" t="s">
        <v>76</v>
      </c>
      <c r="F5" s="21" t="n">
        <v>3</v>
      </c>
      <c r="G5" s="19" t="s">
        <v>77</v>
      </c>
      <c r="H5" s="22" t="s">
        <v>78</v>
      </c>
    </row>
    <row r="6" customFormat="false" ht="15" hidden="false" customHeight="true" outlineLevel="0" collapsed="false">
      <c r="A6" s="19" t="n">
        <v>2</v>
      </c>
      <c r="B6" s="20" t="s">
        <v>73</v>
      </c>
      <c r="C6" s="19" t="s">
        <v>79</v>
      </c>
      <c r="D6" s="19" t="s">
        <v>80</v>
      </c>
      <c r="E6" s="19" t="s">
        <v>81</v>
      </c>
      <c r="F6" s="21" t="n">
        <v>2</v>
      </c>
      <c r="G6" s="19" t="s">
        <v>82</v>
      </c>
      <c r="H6" s="22" t="s">
        <v>78</v>
      </c>
    </row>
    <row r="7" customFormat="false" ht="25.5" hidden="false" customHeight="true" outlineLevel="0" collapsed="false">
      <c r="A7" s="19" t="n">
        <v>3</v>
      </c>
      <c r="B7" s="20" t="s">
        <v>73</v>
      </c>
      <c r="C7" s="19" t="s">
        <v>83</v>
      </c>
      <c r="D7" s="19" t="s">
        <v>84</v>
      </c>
      <c r="E7" s="19" t="s">
        <v>81</v>
      </c>
      <c r="F7" s="21" t="n">
        <v>2</v>
      </c>
      <c r="G7" s="19" t="s">
        <v>82</v>
      </c>
      <c r="H7" s="22" t="s">
        <v>78</v>
      </c>
    </row>
    <row r="8" customFormat="false" ht="25.5" hidden="false" customHeight="true" outlineLevel="0" collapsed="false">
      <c r="A8" s="19" t="n">
        <v>4</v>
      </c>
      <c r="B8" s="20" t="s">
        <v>73</v>
      </c>
      <c r="C8" s="19" t="s">
        <v>85</v>
      </c>
      <c r="D8" s="19" t="s">
        <v>86</v>
      </c>
      <c r="E8" s="19" t="s">
        <v>81</v>
      </c>
      <c r="F8" s="21" t="n">
        <v>3</v>
      </c>
      <c r="G8" s="19" t="s">
        <v>82</v>
      </c>
      <c r="H8" s="22" t="s">
        <v>78</v>
      </c>
    </row>
    <row r="9" customFormat="false" ht="15" hidden="false" customHeight="true" outlineLevel="0" collapsed="false">
      <c r="A9" s="19" t="n">
        <v>5</v>
      </c>
      <c r="B9" s="20" t="s">
        <v>73</v>
      </c>
      <c r="C9" s="19" t="s">
        <v>87</v>
      </c>
      <c r="D9" s="19" t="s">
        <v>88</v>
      </c>
      <c r="E9" s="19" t="s">
        <v>43</v>
      </c>
      <c r="F9" s="21" t="n">
        <v>1</v>
      </c>
      <c r="G9" s="19" t="s">
        <v>82</v>
      </c>
      <c r="H9" s="22" t="s">
        <v>78</v>
      </c>
    </row>
    <row r="10" customFormat="false" ht="15" hidden="false" customHeight="true" outlineLevel="0" collapsed="false">
      <c r="A10" s="19" t="n">
        <v>6</v>
      </c>
      <c r="B10" s="20" t="s">
        <v>73</v>
      </c>
      <c r="C10" s="19" t="s">
        <v>89</v>
      </c>
      <c r="D10" s="19" t="s">
        <v>90</v>
      </c>
      <c r="E10" s="19" t="s">
        <v>76</v>
      </c>
      <c r="F10" s="21" t="n">
        <v>2</v>
      </c>
      <c r="G10" s="19" t="s">
        <v>82</v>
      </c>
      <c r="H10" s="22" t="s">
        <v>78</v>
      </c>
    </row>
    <row r="11" customFormat="false" ht="25.5" hidden="false" customHeight="true" outlineLevel="0" collapsed="false">
      <c r="A11" s="19" t="n">
        <v>7</v>
      </c>
      <c r="B11" s="20" t="s">
        <v>73</v>
      </c>
      <c r="C11" s="19" t="s">
        <v>91</v>
      </c>
      <c r="D11" s="19" t="s">
        <v>92</v>
      </c>
      <c r="E11" s="19" t="s">
        <v>43</v>
      </c>
      <c r="F11" s="21" t="n">
        <v>2</v>
      </c>
      <c r="G11" s="19" t="s">
        <v>82</v>
      </c>
      <c r="H11" s="22" t="s">
        <v>78</v>
      </c>
    </row>
    <row r="12" customFormat="false" ht="25.5" hidden="false" customHeight="true" outlineLevel="0" collapsed="false">
      <c r="A12" s="19" t="n">
        <v>8</v>
      </c>
      <c r="B12" s="20" t="s">
        <v>73</v>
      </c>
      <c r="C12" s="19" t="s">
        <v>93</v>
      </c>
      <c r="D12" s="19" t="s">
        <v>94</v>
      </c>
      <c r="E12" s="19" t="s">
        <v>43</v>
      </c>
      <c r="F12" s="21" t="n">
        <v>2</v>
      </c>
      <c r="G12" s="19" t="s">
        <v>82</v>
      </c>
      <c r="H12" s="22" t="s">
        <v>78</v>
      </c>
    </row>
    <row r="13" customFormat="false" ht="25.5" hidden="false" customHeight="true" outlineLevel="0" collapsed="false">
      <c r="A13" s="19" t="n">
        <v>9</v>
      </c>
      <c r="B13" s="20" t="s">
        <v>73</v>
      </c>
      <c r="C13" s="19" t="s">
        <v>95</v>
      </c>
      <c r="D13" s="19" t="s">
        <v>96</v>
      </c>
      <c r="E13" s="19" t="s">
        <v>43</v>
      </c>
      <c r="F13" s="21" t="n">
        <v>2</v>
      </c>
      <c r="G13" s="19" t="s">
        <v>97</v>
      </c>
      <c r="H13" s="22" t="s">
        <v>78</v>
      </c>
    </row>
    <row r="14" customFormat="false" ht="25.5" hidden="false" customHeight="true" outlineLevel="0" collapsed="false">
      <c r="A14" s="19" t="n">
        <v>10</v>
      </c>
      <c r="B14" s="23" t="s">
        <v>98</v>
      </c>
      <c r="C14" s="19" t="s">
        <v>99</v>
      </c>
      <c r="D14" s="19" t="s">
        <v>100</v>
      </c>
      <c r="E14" s="19" t="s">
        <v>81</v>
      </c>
      <c r="F14" s="21" t="n">
        <v>2</v>
      </c>
      <c r="G14" s="19" t="s">
        <v>82</v>
      </c>
      <c r="H14" s="22" t="s">
        <v>78</v>
      </c>
    </row>
    <row r="15" customFormat="false" ht="25.5" hidden="false" customHeight="true" outlineLevel="0" collapsed="false">
      <c r="A15" s="19" t="n">
        <v>11</v>
      </c>
      <c r="B15" s="23" t="s">
        <v>98</v>
      </c>
      <c r="C15" s="19" t="s">
        <v>101</v>
      </c>
      <c r="D15" s="19" t="s">
        <v>102</v>
      </c>
      <c r="E15" s="19" t="s">
        <v>103</v>
      </c>
      <c r="F15" s="21" t="n">
        <v>3</v>
      </c>
      <c r="G15" s="19" t="s">
        <v>82</v>
      </c>
      <c r="H15" s="22" t="s">
        <v>78</v>
      </c>
    </row>
    <row r="16" customFormat="false" ht="25.5" hidden="false" customHeight="true" outlineLevel="0" collapsed="false">
      <c r="A16" s="19" t="n">
        <v>12</v>
      </c>
      <c r="B16" s="23" t="s">
        <v>98</v>
      </c>
      <c r="C16" s="19" t="s">
        <v>104</v>
      </c>
      <c r="D16" s="19" t="s">
        <v>105</v>
      </c>
      <c r="E16" s="19" t="s">
        <v>106</v>
      </c>
      <c r="F16" s="21" t="n">
        <v>4</v>
      </c>
      <c r="G16" s="19" t="s">
        <v>107</v>
      </c>
      <c r="H16" s="22" t="s">
        <v>78</v>
      </c>
    </row>
    <row r="17" customFormat="false" ht="25.5" hidden="false" customHeight="true" outlineLevel="0" collapsed="false">
      <c r="A17" s="19" t="n">
        <v>13</v>
      </c>
      <c r="B17" s="23" t="s">
        <v>98</v>
      </c>
      <c r="C17" s="19" t="s">
        <v>108</v>
      </c>
      <c r="D17" s="19" t="s">
        <v>109</v>
      </c>
      <c r="E17" s="19" t="s">
        <v>76</v>
      </c>
      <c r="F17" s="21" t="n">
        <v>4</v>
      </c>
      <c r="G17" s="19" t="s">
        <v>82</v>
      </c>
      <c r="H17" s="22" t="s">
        <v>78</v>
      </c>
    </row>
    <row r="18" customFormat="false" ht="25.5" hidden="false" customHeight="true" outlineLevel="0" collapsed="false">
      <c r="A18" s="19" t="n">
        <v>14</v>
      </c>
      <c r="B18" s="23" t="s">
        <v>98</v>
      </c>
      <c r="C18" s="19" t="s">
        <v>110</v>
      </c>
      <c r="D18" s="19" t="s">
        <v>111</v>
      </c>
      <c r="E18" s="19" t="s">
        <v>106</v>
      </c>
      <c r="F18" s="21" t="n">
        <v>3</v>
      </c>
      <c r="G18" s="19" t="s">
        <v>112</v>
      </c>
      <c r="H18" s="22" t="s">
        <v>78</v>
      </c>
    </row>
    <row r="19" customFormat="false" ht="25.5" hidden="false" customHeight="true" outlineLevel="0" collapsed="false">
      <c r="A19" s="19" t="n">
        <v>15</v>
      </c>
      <c r="B19" s="23" t="s">
        <v>98</v>
      </c>
      <c r="C19" s="19" t="s">
        <v>113</v>
      </c>
      <c r="D19" s="19" t="s">
        <v>114</v>
      </c>
      <c r="E19" s="19" t="s">
        <v>76</v>
      </c>
      <c r="F19" s="21" t="n">
        <v>3</v>
      </c>
      <c r="G19" s="19" t="s">
        <v>115</v>
      </c>
      <c r="H19" s="22" t="s">
        <v>78</v>
      </c>
    </row>
    <row r="20" customFormat="false" ht="25.5" hidden="false" customHeight="true" outlineLevel="0" collapsed="false">
      <c r="A20" s="19" t="n">
        <v>16</v>
      </c>
      <c r="B20" s="24" t="s">
        <v>116</v>
      </c>
      <c r="C20" s="19" t="s">
        <v>117</v>
      </c>
      <c r="D20" s="19" t="s">
        <v>118</v>
      </c>
      <c r="E20" s="19" t="s">
        <v>43</v>
      </c>
      <c r="F20" s="21" t="n">
        <v>4</v>
      </c>
      <c r="G20" s="19" t="s">
        <v>82</v>
      </c>
      <c r="H20" s="22" t="s">
        <v>78</v>
      </c>
    </row>
    <row r="21" customFormat="false" ht="25.5" hidden="false" customHeight="true" outlineLevel="0" collapsed="false">
      <c r="A21" s="19" t="n">
        <v>17</v>
      </c>
      <c r="B21" s="24" t="s">
        <v>116</v>
      </c>
      <c r="C21" s="19" t="s">
        <v>119</v>
      </c>
      <c r="D21" s="19" t="s">
        <v>120</v>
      </c>
      <c r="E21" s="19" t="s">
        <v>121</v>
      </c>
      <c r="F21" s="21" t="n">
        <v>6</v>
      </c>
      <c r="G21" s="19" t="s">
        <v>82</v>
      </c>
      <c r="H21" s="22" t="s">
        <v>78</v>
      </c>
    </row>
    <row r="22" customFormat="false" ht="25.5" hidden="false" customHeight="true" outlineLevel="0" collapsed="false">
      <c r="A22" s="19" t="n">
        <v>18</v>
      </c>
      <c r="B22" s="24" t="s">
        <v>116</v>
      </c>
      <c r="C22" s="19" t="s">
        <v>122</v>
      </c>
      <c r="D22" s="19" t="s">
        <v>123</v>
      </c>
      <c r="E22" s="19" t="s">
        <v>124</v>
      </c>
      <c r="F22" s="21" t="n">
        <v>6</v>
      </c>
      <c r="G22" s="19" t="s">
        <v>125</v>
      </c>
      <c r="H22" s="22" t="s">
        <v>78</v>
      </c>
    </row>
    <row r="23" customFormat="false" ht="15" hidden="false" customHeight="true" outlineLevel="0" collapsed="false">
      <c r="A23" s="19" t="n">
        <v>19</v>
      </c>
      <c r="B23" s="24" t="s">
        <v>116</v>
      </c>
      <c r="C23" s="19" t="s">
        <v>126</v>
      </c>
      <c r="D23" s="19" t="s">
        <v>127</v>
      </c>
      <c r="E23" s="19" t="s">
        <v>121</v>
      </c>
      <c r="F23" s="21" t="n">
        <v>5</v>
      </c>
      <c r="G23" s="19" t="s">
        <v>82</v>
      </c>
      <c r="H23" s="22" t="s">
        <v>78</v>
      </c>
    </row>
    <row r="24" customFormat="false" ht="25.5" hidden="false" customHeight="true" outlineLevel="0" collapsed="false">
      <c r="A24" s="19" t="n">
        <v>20</v>
      </c>
      <c r="B24" s="24" t="s">
        <v>116</v>
      </c>
      <c r="C24" s="19" t="s">
        <v>128</v>
      </c>
      <c r="D24" s="19" t="s">
        <v>129</v>
      </c>
      <c r="E24" s="19" t="s">
        <v>121</v>
      </c>
      <c r="F24" s="21" t="n">
        <v>6</v>
      </c>
      <c r="G24" s="19" t="s">
        <v>130</v>
      </c>
      <c r="H24" s="22" t="s">
        <v>78</v>
      </c>
    </row>
    <row r="25" customFormat="false" ht="25.5" hidden="false" customHeight="true" outlineLevel="0" collapsed="false">
      <c r="A25" s="19" t="n">
        <v>21</v>
      </c>
      <c r="B25" s="24" t="s">
        <v>116</v>
      </c>
      <c r="C25" s="19" t="s">
        <v>131</v>
      </c>
      <c r="D25" s="19" t="s">
        <v>132</v>
      </c>
      <c r="E25" s="19" t="s">
        <v>133</v>
      </c>
      <c r="F25" s="21" t="n">
        <v>8</v>
      </c>
      <c r="G25" s="19" t="s">
        <v>134</v>
      </c>
      <c r="H25" s="22" t="s">
        <v>78</v>
      </c>
    </row>
    <row r="26" customFormat="false" ht="25.5" hidden="false" customHeight="true" outlineLevel="0" collapsed="false">
      <c r="A26" s="19" t="n">
        <v>22</v>
      </c>
      <c r="B26" s="24" t="s">
        <v>116</v>
      </c>
      <c r="C26" s="19" t="s">
        <v>135</v>
      </c>
      <c r="D26" s="19" t="s">
        <v>136</v>
      </c>
      <c r="E26" s="19" t="s">
        <v>137</v>
      </c>
      <c r="F26" s="21" t="n">
        <v>5</v>
      </c>
      <c r="G26" s="19" t="s">
        <v>138</v>
      </c>
      <c r="H26" s="22" t="s">
        <v>78</v>
      </c>
    </row>
    <row r="27" customFormat="false" ht="25.5" hidden="false" customHeight="true" outlineLevel="0" collapsed="false">
      <c r="A27" s="19" t="n">
        <v>23</v>
      </c>
      <c r="B27" s="24" t="s">
        <v>116</v>
      </c>
      <c r="C27" s="19" t="s">
        <v>139</v>
      </c>
      <c r="D27" s="19" t="s">
        <v>140</v>
      </c>
      <c r="E27" s="19" t="s">
        <v>141</v>
      </c>
      <c r="F27" s="21" t="n">
        <v>4</v>
      </c>
      <c r="G27" s="19" t="s">
        <v>82</v>
      </c>
      <c r="H27" s="22" t="s">
        <v>78</v>
      </c>
    </row>
    <row r="28" customFormat="false" ht="15" hidden="false" customHeight="true" outlineLevel="0" collapsed="false">
      <c r="A28" s="19" t="n">
        <v>24</v>
      </c>
      <c r="B28" s="24" t="s">
        <v>116</v>
      </c>
      <c r="C28" s="19" t="s">
        <v>142</v>
      </c>
      <c r="D28" s="19" t="s">
        <v>143</v>
      </c>
      <c r="E28" s="19" t="s">
        <v>106</v>
      </c>
      <c r="F28" s="21" t="n">
        <v>5</v>
      </c>
      <c r="G28" s="19" t="s">
        <v>82</v>
      </c>
      <c r="H28" s="22" t="s">
        <v>78</v>
      </c>
    </row>
    <row r="29" customFormat="false" ht="15" hidden="false" customHeight="true" outlineLevel="0" collapsed="false">
      <c r="A29" s="19" t="n">
        <v>25</v>
      </c>
      <c r="B29" s="24" t="s">
        <v>116</v>
      </c>
      <c r="C29" s="19" t="s">
        <v>144</v>
      </c>
      <c r="D29" s="19" t="s">
        <v>145</v>
      </c>
      <c r="E29" s="19" t="s">
        <v>146</v>
      </c>
      <c r="F29" s="21" t="n">
        <v>4</v>
      </c>
      <c r="G29" s="19" t="s">
        <v>82</v>
      </c>
      <c r="H29" s="22" t="s">
        <v>78</v>
      </c>
    </row>
    <row r="30" customFormat="false" ht="25.5" hidden="false" customHeight="true" outlineLevel="0" collapsed="false">
      <c r="A30" s="19" t="n">
        <v>26</v>
      </c>
      <c r="B30" s="24" t="s">
        <v>116</v>
      </c>
      <c r="C30" s="19" t="s">
        <v>147</v>
      </c>
      <c r="D30" s="19" t="s">
        <v>148</v>
      </c>
      <c r="E30" s="19" t="s">
        <v>149</v>
      </c>
      <c r="F30" s="21" t="n">
        <v>3</v>
      </c>
      <c r="G30" s="19" t="s">
        <v>82</v>
      </c>
      <c r="H30" s="22" t="s">
        <v>78</v>
      </c>
    </row>
    <row r="31" customFormat="false" ht="25.5" hidden="false" customHeight="true" outlineLevel="0" collapsed="false">
      <c r="A31" s="19" t="n">
        <v>27</v>
      </c>
      <c r="B31" s="24" t="s">
        <v>116</v>
      </c>
      <c r="C31" s="19" t="s">
        <v>150</v>
      </c>
      <c r="D31" s="19" t="s">
        <v>151</v>
      </c>
      <c r="E31" s="19" t="s">
        <v>152</v>
      </c>
      <c r="F31" s="21" t="n">
        <v>8</v>
      </c>
      <c r="G31" s="19" t="s">
        <v>153</v>
      </c>
      <c r="H31" s="22" t="s">
        <v>78</v>
      </c>
    </row>
    <row r="32" customFormat="false" ht="25.5" hidden="false" customHeight="true" outlineLevel="0" collapsed="false">
      <c r="A32" s="19" t="n">
        <v>28</v>
      </c>
      <c r="B32" s="24" t="s">
        <v>116</v>
      </c>
      <c r="C32" s="19" t="s">
        <v>154</v>
      </c>
      <c r="D32" s="19" t="s">
        <v>155</v>
      </c>
      <c r="E32" s="19" t="s">
        <v>149</v>
      </c>
      <c r="F32" s="21" t="n">
        <v>5</v>
      </c>
      <c r="G32" s="19" t="s">
        <v>156</v>
      </c>
      <c r="H32" s="22" t="s">
        <v>78</v>
      </c>
    </row>
    <row r="33" customFormat="false" ht="25.5" hidden="false" customHeight="true" outlineLevel="0" collapsed="false">
      <c r="A33" s="19" t="n">
        <v>29</v>
      </c>
      <c r="B33" s="24" t="s">
        <v>116</v>
      </c>
      <c r="C33" s="19" t="s">
        <v>157</v>
      </c>
      <c r="D33" s="19" t="s">
        <v>158</v>
      </c>
      <c r="E33" s="19" t="s">
        <v>159</v>
      </c>
      <c r="F33" s="21" t="n">
        <v>5</v>
      </c>
      <c r="G33" s="19" t="s">
        <v>160</v>
      </c>
      <c r="H33" s="22" t="s">
        <v>78</v>
      </c>
    </row>
    <row r="34" customFormat="false" ht="25.5" hidden="false" customHeight="true" outlineLevel="0" collapsed="false">
      <c r="A34" s="19" t="n">
        <v>30</v>
      </c>
      <c r="B34" s="24" t="s">
        <v>116</v>
      </c>
      <c r="C34" s="19" t="s">
        <v>161</v>
      </c>
      <c r="D34" s="19" t="s">
        <v>162</v>
      </c>
      <c r="E34" s="19" t="s">
        <v>76</v>
      </c>
      <c r="F34" s="21" t="n">
        <v>4</v>
      </c>
      <c r="G34" s="19" t="s">
        <v>163</v>
      </c>
      <c r="H34" s="22" t="s">
        <v>78</v>
      </c>
    </row>
    <row r="35" customFormat="false" ht="25.5" hidden="false" customHeight="true" outlineLevel="0" collapsed="false">
      <c r="A35" s="19" t="n">
        <v>31</v>
      </c>
      <c r="B35" s="24" t="s">
        <v>116</v>
      </c>
      <c r="C35" s="19" t="s">
        <v>164</v>
      </c>
      <c r="D35" s="19" t="s">
        <v>165</v>
      </c>
      <c r="E35" s="19" t="s">
        <v>43</v>
      </c>
      <c r="F35" s="21" t="n">
        <v>4</v>
      </c>
      <c r="G35" s="19" t="s">
        <v>166</v>
      </c>
      <c r="H35" s="22" t="s">
        <v>78</v>
      </c>
    </row>
    <row r="36" customFormat="false" ht="25.5" hidden="false" customHeight="true" outlineLevel="0" collapsed="false">
      <c r="A36" s="19" t="n">
        <v>32</v>
      </c>
      <c r="B36" s="25" t="s">
        <v>167</v>
      </c>
      <c r="C36" s="19" t="s">
        <v>168</v>
      </c>
      <c r="D36" s="19" t="s">
        <v>169</v>
      </c>
      <c r="E36" s="19" t="s">
        <v>170</v>
      </c>
      <c r="F36" s="21" t="n">
        <v>8</v>
      </c>
      <c r="G36" s="19" t="s">
        <v>171</v>
      </c>
      <c r="H36" s="22" t="s">
        <v>78</v>
      </c>
    </row>
    <row r="37" customFormat="false" ht="15" hidden="false" customHeight="true" outlineLevel="0" collapsed="false">
      <c r="A37" s="19" t="n">
        <v>33</v>
      </c>
      <c r="B37" s="25" t="s">
        <v>167</v>
      </c>
      <c r="C37" s="19" t="s">
        <v>172</v>
      </c>
      <c r="D37" s="19" t="s">
        <v>173</v>
      </c>
      <c r="E37" s="19" t="s">
        <v>45</v>
      </c>
      <c r="F37" s="21" t="n">
        <v>10</v>
      </c>
      <c r="G37" s="19" t="s">
        <v>174</v>
      </c>
      <c r="H37" s="22" t="s">
        <v>78</v>
      </c>
    </row>
    <row r="38" customFormat="false" ht="15" hidden="false" customHeight="true" outlineLevel="0" collapsed="false">
      <c r="A38" s="19" t="n">
        <v>34</v>
      </c>
      <c r="B38" s="25" t="s">
        <v>167</v>
      </c>
      <c r="C38" s="19" t="s">
        <v>175</v>
      </c>
      <c r="D38" s="19" t="s">
        <v>176</v>
      </c>
      <c r="E38" s="19" t="s">
        <v>177</v>
      </c>
      <c r="F38" s="21" t="n">
        <v>0</v>
      </c>
      <c r="G38" s="19" t="s">
        <v>178</v>
      </c>
      <c r="H38" s="22" t="s">
        <v>78</v>
      </c>
    </row>
    <row r="39" customFormat="false" ht="15" hidden="false" customHeight="true" outlineLevel="0" collapsed="false">
      <c r="A39" s="19" t="n">
        <v>35</v>
      </c>
      <c r="B39" s="25" t="s">
        <v>167</v>
      </c>
      <c r="C39" s="19" t="s">
        <v>179</v>
      </c>
      <c r="D39" s="19" t="s">
        <v>180</v>
      </c>
      <c r="E39" s="19" t="s">
        <v>177</v>
      </c>
      <c r="F39" s="21" t="n">
        <v>0</v>
      </c>
      <c r="G39" s="19" t="s">
        <v>181</v>
      </c>
      <c r="H39" s="22" t="s">
        <v>78</v>
      </c>
    </row>
    <row r="40" customFormat="false" ht="15" hidden="false" customHeight="true" outlineLevel="0" collapsed="false">
      <c r="A40" s="19" t="n">
        <v>36</v>
      </c>
      <c r="B40" s="25" t="s">
        <v>167</v>
      </c>
      <c r="C40" s="19" t="s">
        <v>182</v>
      </c>
      <c r="D40" s="19" t="s">
        <v>183</v>
      </c>
      <c r="E40" s="19" t="s">
        <v>46</v>
      </c>
      <c r="F40" s="21" t="n">
        <v>0</v>
      </c>
      <c r="G40" s="19" t="s">
        <v>184</v>
      </c>
      <c r="H40" s="22" t="s">
        <v>78</v>
      </c>
    </row>
    <row r="41" customFormat="false" ht="25.5" hidden="false" customHeight="true" outlineLevel="0" collapsed="false">
      <c r="A41" s="19" t="n">
        <v>37</v>
      </c>
      <c r="B41" s="26" t="s">
        <v>185</v>
      </c>
      <c r="C41" s="19" t="s">
        <v>186</v>
      </c>
      <c r="D41" s="19" t="s">
        <v>187</v>
      </c>
      <c r="E41" s="19" t="s">
        <v>43</v>
      </c>
      <c r="F41" s="21" t="n">
        <v>10</v>
      </c>
      <c r="G41" s="19" t="s">
        <v>188</v>
      </c>
      <c r="H41" s="22" t="s">
        <v>78</v>
      </c>
    </row>
    <row r="42" customFormat="false" ht="25.5" hidden="false" customHeight="true" outlineLevel="0" collapsed="false">
      <c r="A42" s="19" t="n">
        <v>38</v>
      </c>
      <c r="B42" s="26" t="s">
        <v>185</v>
      </c>
      <c r="C42" s="19" t="s">
        <v>189</v>
      </c>
      <c r="D42" s="19" t="s">
        <v>187</v>
      </c>
      <c r="E42" s="19" t="s">
        <v>43</v>
      </c>
      <c r="F42" s="21" t="n">
        <v>6</v>
      </c>
      <c r="G42" s="19" t="s">
        <v>82</v>
      </c>
      <c r="H42" s="25" t="s">
        <v>190</v>
      </c>
    </row>
    <row r="43" customFormat="false" ht="25.5" hidden="false" customHeight="true" outlineLevel="0" collapsed="false">
      <c r="A43" s="19" t="n">
        <v>39</v>
      </c>
      <c r="B43" s="26" t="s">
        <v>185</v>
      </c>
      <c r="C43" s="19" t="s">
        <v>191</v>
      </c>
      <c r="D43" s="19" t="s">
        <v>187</v>
      </c>
      <c r="E43" s="19" t="s">
        <v>192</v>
      </c>
      <c r="F43" s="21" t="n">
        <v>8</v>
      </c>
      <c r="G43" s="19" t="s">
        <v>193</v>
      </c>
      <c r="H43" s="25" t="s">
        <v>190</v>
      </c>
    </row>
    <row r="44" customFormat="false" ht="25.5" hidden="false" customHeight="true" outlineLevel="0" collapsed="false">
      <c r="A44" s="19" t="n">
        <v>40</v>
      </c>
      <c r="B44" s="26" t="s">
        <v>185</v>
      </c>
      <c r="C44" s="19" t="s">
        <v>194</v>
      </c>
      <c r="D44" s="19" t="s">
        <v>187</v>
      </c>
      <c r="E44" s="19" t="s">
        <v>195</v>
      </c>
      <c r="F44" s="21" t="n">
        <v>12</v>
      </c>
      <c r="G44" s="19" t="s">
        <v>196</v>
      </c>
      <c r="H44" s="25" t="s">
        <v>190</v>
      </c>
    </row>
    <row r="45" customFormat="false" ht="25.5" hidden="false" customHeight="true" outlineLevel="0" collapsed="false">
      <c r="A45" s="19" t="n">
        <v>41</v>
      </c>
      <c r="B45" s="26" t="s">
        <v>185</v>
      </c>
      <c r="C45" s="19" t="s">
        <v>197</v>
      </c>
      <c r="D45" s="19" t="s">
        <v>187</v>
      </c>
      <c r="E45" s="19" t="s">
        <v>198</v>
      </c>
      <c r="F45" s="21" t="n">
        <v>20</v>
      </c>
      <c r="G45" s="19" t="s">
        <v>199</v>
      </c>
      <c r="H45" s="25" t="s">
        <v>190</v>
      </c>
    </row>
    <row r="47" customFormat="false" ht="15" hidden="false" customHeight="true" outlineLevel="0" collapsed="false">
      <c r="B47" s="5" t="s">
        <v>200</v>
      </c>
    </row>
    <row r="48" customFormat="false" ht="15" hidden="false" customHeight="true" outlineLevel="0" collapsed="false">
      <c r="B48" s="8" t="s">
        <v>66</v>
      </c>
      <c r="C48" s="8" t="s">
        <v>201</v>
      </c>
      <c r="D48" s="8" t="s">
        <v>202</v>
      </c>
      <c r="E48" s="8" t="s">
        <v>203</v>
      </c>
    </row>
    <row r="49" customFormat="false" ht="15" hidden="false" customHeight="true" outlineLevel="0" collapsed="false">
      <c r="B49" s="27" t="s">
        <v>73</v>
      </c>
      <c r="C49" s="4" t="n">
        <f aca="false">COUNTIF($B$5:$B$45,B49)</f>
        <v>9</v>
      </c>
      <c r="D49" s="4" t="n">
        <f aca="false">SUMIF($B$5:$B$45,B49,$F$5:$F$45)</f>
        <v>19</v>
      </c>
      <c r="E49" s="15" t="n">
        <f aca="false">D49/8</f>
        <v>2.375</v>
      </c>
    </row>
    <row r="50" customFormat="false" ht="15" hidden="false" customHeight="true" outlineLevel="0" collapsed="false">
      <c r="B50" s="12" t="s">
        <v>98</v>
      </c>
      <c r="C50" s="4" t="n">
        <f aca="false">COUNTIF($B$5:$B$45,B50)</f>
        <v>6</v>
      </c>
      <c r="D50" s="4" t="n">
        <f aca="false">SUMIF($B$5:$B$45,B50,$F$5:$F$45)</f>
        <v>19</v>
      </c>
      <c r="E50" s="15" t="n">
        <f aca="false">D50/8</f>
        <v>2.375</v>
      </c>
    </row>
    <row r="51" customFormat="false" ht="15" hidden="false" customHeight="true" outlineLevel="0" collapsed="false">
      <c r="B51" s="28" t="s">
        <v>116</v>
      </c>
      <c r="C51" s="4" t="n">
        <f aca="false">COUNTIF($B$5:$B$45,B51)</f>
        <v>16</v>
      </c>
      <c r="D51" s="4" t="n">
        <f aca="false">SUMIF($B$5:$B$45,B51,$F$5:$F$45)</f>
        <v>82</v>
      </c>
      <c r="E51" s="15" t="n">
        <f aca="false">D51/8</f>
        <v>10.25</v>
      </c>
    </row>
    <row r="52" customFormat="false" ht="15" hidden="false" customHeight="true" outlineLevel="0" collapsed="false">
      <c r="B52" s="13" t="s">
        <v>167</v>
      </c>
      <c r="C52" s="4" t="n">
        <f aca="false">COUNTIF($B$5:$B$45,B52)</f>
        <v>5</v>
      </c>
      <c r="D52" s="4" t="n">
        <f aca="false">SUMIF($B$5:$B$45,B52,$F$5:$F$45)</f>
        <v>18</v>
      </c>
      <c r="E52" s="15" t="n">
        <f aca="false">D52/8</f>
        <v>2.25</v>
      </c>
    </row>
    <row r="53" customFormat="false" ht="15" hidden="false" customHeight="true" outlineLevel="0" collapsed="false">
      <c r="B53" s="14" t="s">
        <v>185</v>
      </c>
      <c r="C53" s="4" t="n">
        <f aca="false">COUNTIF($B$5:$B$45,B53)</f>
        <v>5</v>
      </c>
      <c r="D53" s="4" t="n">
        <f aca="false">SUMIF($B$5:$B$45,B53,$F$5:$F$45)</f>
        <v>56</v>
      </c>
      <c r="E53" s="15" t="n">
        <f aca="false">D53/8</f>
        <v>7</v>
      </c>
    </row>
    <row r="54" customFormat="false" ht="15" hidden="false" customHeight="true" outlineLevel="0" collapsed="false">
      <c r="B54" s="5" t="s">
        <v>37</v>
      </c>
      <c r="C54" s="5" t="n">
        <f aca="false">SUM(C49:C53)</f>
        <v>41</v>
      </c>
      <c r="D54" s="5" t="n">
        <f aca="false">SUM(D49:D53)</f>
        <v>194</v>
      </c>
      <c r="E54" s="16" t="n">
        <f aca="false">SUM(E49:E53)</f>
        <v>24.25</v>
      </c>
    </row>
    <row r="56" customFormat="false" ht="15" hidden="false" customHeight="true" outlineLevel="0" collapsed="false">
      <c r="B56" s="6" t="s">
        <v>204</v>
      </c>
    </row>
  </sheetData>
  <autoFilter ref="A4:H45"/>
  <dataValidations count="1">
    <dataValidation allowBlank="true" errorStyle="stop" operator="between" showDropDown="false" showErrorMessage="false" showInputMessage="false" sqref="H5:H45" type="list">
      <formula1>"Not started,In progress,Done,Deferred"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62" activePane="bottomRight" state="frozen"/>
      <selection pane="topLeft" activeCell="A1" activeCellId="0" sqref="A1"/>
      <selection pane="topRight" activeCell="C1" activeCellId="0" sqref="C1"/>
      <selection pane="bottomLeft" activeCell="A62" activeCellId="0" sqref="A62"/>
      <selection pane="bottomRight" activeCell="E15" activeCellId="0" sqref="E15"/>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46"/>
    <col collapsed="false" customWidth="true" hidden="false" outlineLevel="0" max="4" min="4" style="1" width="9"/>
    <col collapsed="false" customWidth="true" hidden="false" outlineLevel="0" max="5" min="5" style="1" width="52"/>
    <col collapsed="false" customWidth="true" hidden="false" outlineLevel="0" max="6" min="6" style="1" width="20"/>
    <col collapsed="false" customWidth="true" hidden="false" outlineLevel="0" max="7" min="7" style="1" width="13"/>
    <col collapsed="false" customWidth="true" hidden="false" outlineLevel="0" max="8" min="8" style="1" width="11"/>
    <col collapsed="false" customWidth="true" hidden="false" outlineLevel="0" max="9" min="9" style="1" width="9"/>
    <col collapsed="false" customWidth="true" hidden="false" outlineLevel="0" max="10" min="10" style="1" width="6"/>
    <col collapsed="false" customWidth="true" hidden="false" outlineLevel="0" max="11" min="11" style="1" width="13"/>
    <col collapsed="false" customWidth="true" hidden="false" outlineLevel="0" max="12" min="12" style="1" width="16"/>
    <col collapsed="false" customWidth="true" hidden="false" outlineLevel="0" max="13" min="13" style="1" width="52"/>
    <col collapsed="false" customWidth="true" hidden="false" outlineLevel="0" max="14" min="14" style="1" width="30"/>
  </cols>
  <sheetData>
    <row r="1" customFormat="false" ht="25.5" hidden="false" customHeight="true" outlineLevel="0" collapsed="false">
      <c r="A1" s="29" t="s">
        <v>205</v>
      </c>
      <c r="B1" s="29" t="s">
        <v>206</v>
      </c>
      <c r="C1" s="29" t="s">
        <v>207</v>
      </c>
      <c r="D1" s="29" t="s">
        <v>208</v>
      </c>
      <c r="E1" s="29" t="s">
        <v>209</v>
      </c>
      <c r="F1" s="29" t="s">
        <v>210</v>
      </c>
      <c r="G1" s="29" t="s">
        <v>39</v>
      </c>
      <c r="H1" s="29" t="s">
        <v>211</v>
      </c>
      <c r="I1" s="29" t="s">
        <v>54</v>
      </c>
      <c r="J1" s="29" t="s">
        <v>212</v>
      </c>
      <c r="K1" s="29" t="s">
        <v>49</v>
      </c>
      <c r="L1" s="29" t="s">
        <v>29</v>
      </c>
      <c r="M1" s="29" t="s">
        <v>213</v>
      </c>
      <c r="N1" s="29" t="s">
        <v>214</v>
      </c>
    </row>
    <row r="2" customFormat="false" ht="25.5" hidden="false" customHeight="true" outlineLevel="0" collapsed="false">
      <c r="A2" s="19" t="s">
        <v>215</v>
      </c>
      <c r="B2" s="19" t="s">
        <v>216</v>
      </c>
      <c r="C2" s="19" t="s">
        <v>217</v>
      </c>
      <c r="D2" s="19" t="s">
        <v>218</v>
      </c>
      <c r="E2" s="19" t="s">
        <v>219</v>
      </c>
      <c r="F2" s="19" t="s">
        <v>42</v>
      </c>
      <c r="G2" s="20" t="s">
        <v>42</v>
      </c>
      <c r="H2" s="19" t="s">
        <v>58</v>
      </c>
      <c r="I2" s="19" t="s">
        <v>58</v>
      </c>
      <c r="J2" s="19" t="s">
        <v>24</v>
      </c>
      <c r="K2" s="19" t="s">
        <v>51</v>
      </c>
      <c r="L2" s="22" t="s">
        <v>32</v>
      </c>
      <c r="M2" s="19" t="s">
        <v>220</v>
      </c>
      <c r="N2" s="19"/>
    </row>
    <row r="3" customFormat="false" ht="51" hidden="false" customHeight="true" outlineLevel="0" collapsed="false">
      <c r="A3" s="19" t="s">
        <v>221</v>
      </c>
      <c r="B3" s="19" t="s">
        <v>216</v>
      </c>
      <c r="C3" s="19" t="s">
        <v>222</v>
      </c>
      <c r="D3" s="19" t="s">
        <v>223</v>
      </c>
      <c r="E3" s="19" t="s">
        <v>224</v>
      </c>
      <c r="F3" s="19" t="s">
        <v>225</v>
      </c>
      <c r="G3" s="24" t="s">
        <v>44</v>
      </c>
      <c r="H3" s="19" t="s">
        <v>58</v>
      </c>
      <c r="I3" s="19" t="s">
        <v>58</v>
      </c>
      <c r="J3" s="19" t="s">
        <v>27</v>
      </c>
      <c r="K3" s="19" t="s">
        <v>52</v>
      </c>
      <c r="L3" s="22" t="s">
        <v>32</v>
      </c>
      <c r="M3" s="19" t="s">
        <v>226</v>
      </c>
      <c r="N3" s="19" t="s">
        <v>227</v>
      </c>
    </row>
    <row r="4" customFormat="false" ht="25.5" hidden="false" customHeight="true" outlineLevel="0" collapsed="false">
      <c r="A4" s="19" t="s">
        <v>228</v>
      </c>
      <c r="B4" s="19" t="s">
        <v>216</v>
      </c>
      <c r="C4" s="19" t="s">
        <v>229</v>
      </c>
      <c r="D4" s="19" t="s">
        <v>218</v>
      </c>
      <c r="E4" s="19" t="s">
        <v>230</v>
      </c>
      <c r="F4" s="19" t="s">
        <v>42</v>
      </c>
      <c r="G4" s="20" t="s">
        <v>42</v>
      </c>
      <c r="H4" s="19" t="s">
        <v>58</v>
      </c>
      <c r="I4" s="19" t="s">
        <v>58</v>
      </c>
      <c r="J4" s="19" t="s">
        <v>24</v>
      </c>
      <c r="K4" s="19" t="s">
        <v>51</v>
      </c>
      <c r="L4" s="22" t="s">
        <v>32</v>
      </c>
      <c r="M4" s="19" t="s">
        <v>231</v>
      </c>
      <c r="N4" s="19"/>
    </row>
    <row r="5" customFormat="false" ht="38.25" hidden="false" customHeight="true" outlineLevel="0" collapsed="false">
      <c r="A5" s="19" t="s">
        <v>232</v>
      </c>
      <c r="B5" s="19" t="s">
        <v>216</v>
      </c>
      <c r="C5" s="19" t="s">
        <v>233</v>
      </c>
      <c r="D5" s="19" t="s">
        <v>223</v>
      </c>
      <c r="E5" s="19" t="s">
        <v>234</v>
      </c>
      <c r="F5" s="19" t="s">
        <v>43</v>
      </c>
      <c r="G5" s="23" t="s">
        <v>43</v>
      </c>
      <c r="H5" s="19" t="s">
        <v>58</v>
      </c>
      <c r="I5" s="19" t="s">
        <v>58</v>
      </c>
      <c r="J5" s="19" t="s">
        <v>24</v>
      </c>
      <c r="K5" s="19" t="s">
        <v>40</v>
      </c>
      <c r="L5" s="22" t="s">
        <v>32</v>
      </c>
      <c r="M5" s="19" t="s">
        <v>235</v>
      </c>
      <c r="N5" s="19"/>
    </row>
    <row r="6" customFormat="false" ht="25.5" hidden="false" customHeight="true" outlineLevel="0" collapsed="false">
      <c r="A6" s="19" t="s">
        <v>236</v>
      </c>
      <c r="B6" s="19" t="s">
        <v>216</v>
      </c>
      <c r="C6" s="19" t="s">
        <v>237</v>
      </c>
      <c r="D6" s="19" t="s">
        <v>218</v>
      </c>
      <c r="E6" s="19" t="s">
        <v>238</v>
      </c>
      <c r="F6" s="19" t="s">
        <v>42</v>
      </c>
      <c r="G6" s="20" t="s">
        <v>42</v>
      </c>
      <c r="H6" s="19" t="s">
        <v>58</v>
      </c>
      <c r="I6" s="19" t="s">
        <v>58</v>
      </c>
      <c r="J6" s="19" t="s">
        <v>24</v>
      </c>
      <c r="K6" s="19" t="s">
        <v>51</v>
      </c>
      <c r="L6" s="22" t="s">
        <v>32</v>
      </c>
      <c r="M6" s="19" t="s">
        <v>239</v>
      </c>
      <c r="N6" s="19"/>
    </row>
    <row r="7" customFormat="false" ht="25.5" hidden="false" customHeight="true" outlineLevel="0" collapsed="false">
      <c r="A7" s="19" t="s">
        <v>240</v>
      </c>
      <c r="B7" s="19" t="s">
        <v>241</v>
      </c>
      <c r="C7" s="19" t="s">
        <v>242</v>
      </c>
      <c r="D7" s="19" t="s">
        <v>218</v>
      </c>
      <c r="E7" s="19" t="s">
        <v>243</v>
      </c>
      <c r="F7" s="19" t="s">
        <v>43</v>
      </c>
      <c r="G7" s="23" t="s">
        <v>43</v>
      </c>
      <c r="H7" s="19" t="s">
        <v>58</v>
      </c>
      <c r="I7" s="19" t="s">
        <v>58</v>
      </c>
      <c r="J7" s="19" t="s">
        <v>24</v>
      </c>
      <c r="K7" s="19" t="s">
        <v>51</v>
      </c>
      <c r="L7" s="22" t="s">
        <v>32</v>
      </c>
      <c r="M7" s="19" t="s">
        <v>244</v>
      </c>
      <c r="N7" s="19"/>
    </row>
    <row r="8" customFormat="false" ht="25.5" hidden="false" customHeight="true" outlineLevel="0" collapsed="false">
      <c r="A8" s="19" t="s">
        <v>245</v>
      </c>
      <c r="B8" s="19" t="s">
        <v>241</v>
      </c>
      <c r="C8" s="19" t="s">
        <v>246</v>
      </c>
      <c r="D8" s="19" t="s">
        <v>218</v>
      </c>
      <c r="E8" s="19" t="s">
        <v>247</v>
      </c>
      <c r="F8" s="19" t="s">
        <v>42</v>
      </c>
      <c r="G8" s="20" t="s">
        <v>42</v>
      </c>
      <c r="H8" s="19" t="s">
        <v>58</v>
      </c>
      <c r="I8" s="19" t="s">
        <v>58</v>
      </c>
      <c r="J8" s="19" t="s">
        <v>24</v>
      </c>
      <c r="K8" s="19" t="s">
        <v>51</v>
      </c>
      <c r="L8" s="22" t="s">
        <v>32</v>
      </c>
      <c r="M8" s="19" t="s">
        <v>248</v>
      </c>
      <c r="N8" s="19"/>
    </row>
    <row r="9" customFormat="false" ht="38.25" hidden="false" customHeight="true" outlineLevel="0" collapsed="false">
      <c r="A9" s="19" t="s">
        <v>249</v>
      </c>
      <c r="B9" s="19" t="s">
        <v>241</v>
      </c>
      <c r="C9" s="19" t="s">
        <v>250</v>
      </c>
      <c r="D9" s="19" t="s">
        <v>223</v>
      </c>
      <c r="E9" s="19" t="s">
        <v>251</v>
      </c>
      <c r="F9" s="19" t="s">
        <v>252</v>
      </c>
      <c r="G9" s="23" t="s">
        <v>43</v>
      </c>
      <c r="H9" s="19" t="s">
        <v>253</v>
      </c>
      <c r="I9" s="19" t="s">
        <v>58</v>
      </c>
      <c r="J9" s="19" t="s">
        <v>26</v>
      </c>
      <c r="K9" s="19" t="s">
        <v>40</v>
      </c>
      <c r="L9" s="22" t="s">
        <v>32</v>
      </c>
      <c r="M9" s="19" t="s">
        <v>254</v>
      </c>
      <c r="N9" s="19"/>
    </row>
    <row r="10" customFormat="false" ht="38.25" hidden="false" customHeight="true" outlineLevel="0" collapsed="false">
      <c r="A10" s="19" t="s">
        <v>255</v>
      </c>
      <c r="B10" s="19" t="s">
        <v>241</v>
      </c>
      <c r="C10" s="19" t="s">
        <v>256</v>
      </c>
      <c r="D10" s="19" t="s">
        <v>218</v>
      </c>
      <c r="E10" s="19" t="s">
        <v>257</v>
      </c>
      <c r="F10" s="19" t="s">
        <v>258</v>
      </c>
      <c r="G10" s="24" t="s">
        <v>44</v>
      </c>
      <c r="H10" s="19" t="s">
        <v>58</v>
      </c>
      <c r="I10" s="19" t="s">
        <v>58</v>
      </c>
      <c r="J10" s="19" t="s">
        <v>26</v>
      </c>
      <c r="K10" s="19" t="s">
        <v>52</v>
      </c>
      <c r="L10" s="22" t="s">
        <v>32</v>
      </c>
      <c r="M10" s="19" t="s">
        <v>259</v>
      </c>
      <c r="N10" s="19"/>
    </row>
    <row r="11" customFormat="false" ht="38.25" hidden="false" customHeight="true" outlineLevel="0" collapsed="false">
      <c r="A11" s="19" t="s">
        <v>260</v>
      </c>
      <c r="B11" s="19" t="s">
        <v>241</v>
      </c>
      <c r="C11" s="19" t="s">
        <v>261</v>
      </c>
      <c r="D11" s="19" t="s">
        <v>218</v>
      </c>
      <c r="E11" s="19" t="s">
        <v>262</v>
      </c>
      <c r="F11" s="19" t="s">
        <v>42</v>
      </c>
      <c r="G11" s="20" t="s">
        <v>42</v>
      </c>
      <c r="H11" s="19" t="s">
        <v>61</v>
      </c>
      <c r="I11" s="19" t="s">
        <v>61</v>
      </c>
      <c r="J11" s="19" t="s">
        <v>24</v>
      </c>
      <c r="K11" s="19" t="s">
        <v>51</v>
      </c>
      <c r="L11" s="22" t="s">
        <v>32</v>
      </c>
      <c r="M11" s="19" t="s">
        <v>263</v>
      </c>
      <c r="N11" s="19"/>
    </row>
    <row r="12" customFormat="false" ht="25.5" hidden="false" customHeight="true" outlineLevel="0" collapsed="false">
      <c r="A12" s="19" t="s">
        <v>264</v>
      </c>
      <c r="B12" s="19" t="s">
        <v>241</v>
      </c>
      <c r="C12" s="19" t="s">
        <v>265</v>
      </c>
      <c r="D12" s="19" t="s">
        <v>266</v>
      </c>
      <c r="E12" s="19" t="s">
        <v>267</v>
      </c>
      <c r="F12" s="19" t="s">
        <v>42</v>
      </c>
      <c r="G12" s="20" t="s">
        <v>42</v>
      </c>
      <c r="H12" s="19" t="s">
        <v>60</v>
      </c>
      <c r="I12" s="19" t="s">
        <v>60</v>
      </c>
      <c r="J12" s="19" t="s">
        <v>24</v>
      </c>
      <c r="K12" s="19" t="s">
        <v>40</v>
      </c>
      <c r="L12" s="22" t="s">
        <v>32</v>
      </c>
      <c r="M12" s="19" t="s">
        <v>268</v>
      </c>
      <c r="N12" s="19"/>
    </row>
    <row r="13" customFormat="false" ht="51" hidden="false" customHeight="true" outlineLevel="0" collapsed="false">
      <c r="A13" s="19" t="s">
        <v>105</v>
      </c>
      <c r="B13" s="19" t="s">
        <v>241</v>
      </c>
      <c r="C13" s="19" t="s">
        <v>269</v>
      </c>
      <c r="D13" s="19" t="s">
        <v>266</v>
      </c>
      <c r="E13" s="19" t="s">
        <v>270</v>
      </c>
      <c r="F13" s="19" t="s">
        <v>271</v>
      </c>
      <c r="G13" s="24" t="s">
        <v>44</v>
      </c>
      <c r="H13" s="19" t="s">
        <v>60</v>
      </c>
      <c r="I13" s="19" t="s">
        <v>60</v>
      </c>
      <c r="J13" s="19" t="s">
        <v>24</v>
      </c>
      <c r="K13" s="19" t="s">
        <v>52</v>
      </c>
      <c r="L13" s="22" t="s">
        <v>32</v>
      </c>
      <c r="M13" s="19" t="s">
        <v>272</v>
      </c>
      <c r="N13" s="19" t="s">
        <v>273</v>
      </c>
    </row>
    <row r="14" customFormat="false" ht="38.25" hidden="false" customHeight="true" outlineLevel="0" collapsed="false">
      <c r="A14" s="19" t="s">
        <v>274</v>
      </c>
      <c r="B14" s="19" t="s">
        <v>241</v>
      </c>
      <c r="C14" s="19" t="s">
        <v>275</v>
      </c>
      <c r="D14" s="19" t="s">
        <v>276</v>
      </c>
      <c r="E14" s="19" t="s">
        <v>277</v>
      </c>
      <c r="F14" s="19" t="s">
        <v>271</v>
      </c>
      <c r="G14" s="24" t="s">
        <v>44</v>
      </c>
      <c r="H14" s="19" t="s">
        <v>60</v>
      </c>
      <c r="I14" s="19" t="s">
        <v>60</v>
      </c>
      <c r="J14" s="19" t="s">
        <v>24</v>
      </c>
      <c r="K14" s="19" t="s">
        <v>278</v>
      </c>
      <c r="L14" s="22" t="s">
        <v>32</v>
      </c>
      <c r="M14" s="19" t="s">
        <v>279</v>
      </c>
      <c r="N14" s="19"/>
    </row>
    <row r="15" customFormat="false" ht="38.25" hidden="false" customHeight="true" outlineLevel="0" collapsed="false">
      <c r="A15" s="19" t="s">
        <v>165</v>
      </c>
      <c r="B15" s="19" t="s">
        <v>241</v>
      </c>
      <c r="C15" s="19" t="s">
        <v>280</v>
      </c>
      <c r="D15" s="19" t="s">
        <v>266</v>
      </c>
      <c r="E15" s="19" t="s">
        <v>281</v>
      </c>
      <c r="F15" s="19" t="s">
        <v>43</v>
      </c>
      <c r="G15" s="23" t="s">
        <v>43</v>
      </c>
      <c r="H15" s="19" t="s">
        <v>62</v>
      </c>
      <c r="I15" s="19" t="s">
        <v>62</v>
      </c>
      <c r="J15" s="19" t="s">
        <v>24</v>
      </c>
      <c r="K15" s="19" t="s">
        <v>52</v>
      </c>
      <c r="L15" s="22" t="s">
        <v>32</v>
      </c>
      <c r="M15" s="19" t="s">
        <v>282</v>
      </c>
      <c r="N15" s="19" t="s">
        <v>283</v>
      </c>
    </row>
    <row r="16" customFormat="false" ht="63.75" hidden="false" customHeight="true" outlineLevel="0" collapsed="false">
      <c r="A16" s="19" t="s">
        <v>284</v>
      </c>
      <c r="B16" s="19" t="s">
        <v>285</v>
      </c>
      <c r="C16" s="19" t="s">
        <v>286</v>
      </c>
      <c r="D16" s="19" t="s">
        <v>276</v>
      </c>
      <c r="E16" s="19" t="s">
        <v>287</v>
      </c>
      <c r="F16" s="19" t="s">
        <v>43</v>
      </c>
      <c r="G16" s="23" t="s">
        <v>43</v>
      </c>
      <c r="H16" s="19" t="s">
        <v>58</v>
      </c>
      <c r="I16" s="19" t="s">
        <v>58</v>
      </c>
      <c r="J16" s="19" t="s">
        <v>24</v>
      </c>
      <c r="K16" s="19" t="s">
        <v>40</v>
      </c>
      <c r="L16" s="22" t="s">
        <v>32</v>
      </c>
      <c r="M16" s="19" t="s">
        <v>288</v>
      </c>
      <c r="N16" s="19"/>
    </row>
    <row r="17" customFormat="false" ht="51" hidden="false" customHeight="true" outlineLevel="0" collapsed="false">
      <c r="A17" s="19" t="s">
        <v>140</v>
      </c>
      <c r="B17" s="19" t="s">
        <v>285</v>
      </c>
      <c r="C17" s="19" t="s">
        <v>289</v>
      </c>
      <c r="D17" s="19" t="s">
        <v>276</v>
      </c>
      <c r="E17" s="19" t="s">
        <v>290</v>
      </c>
      <c r="F17" s="19" t="s">
        <v>43</v>
      </c>
      <c r="G17" s="23" t="s">
        <v>43</v>
      </c>
      <c r="H17" s="19" t="s">
        <v>59</v>
      </c>
      <c r="I17" s="19" t="s">
        <v>59</v>
      </c>
      <c r="J17" s="19" t="s">
        <v>24</v>
      </c>
      <c r="K17" s="19" t="s">
        <v>40</v>
      </c>
      <c r="L17" s="22" t="s">
        <v>32</v>
      </c>
      <c r="M17" s="19" t="s">
        <v>291</v>
      </c>
      <c r="N17" s="19"/>
    </row>
    <row r="18" customFormat="false" ht="25.5" hidden="false" customHeight="true" outlineLevel="0" collapsed="false">
      <c r="A18" s="19" t="s">
        <v>292</v>
      </c>
      <c r="B18" s="19" t="s">
        <v>285</v>
      </c>
      <c r="C18" s="19" t="s">
        <v>293</v>
      </c>
      <c r="D18" s="19" t="s">
        <v>276</v>
      </c>
      <c r="E18" s="19" t="s">
        <v>294</v>
      </c>
      <c r="F18" s="19" t="s">
        <v>295</v>
      </c>
      <c r="G18" s="24" t="s">
        <v>44</v>
      </c>
      <c r="H18" s="19" t="s">
        <v>59</v>
      </c>
      <c r="I18" s="19" t="s">
        <v>59</v>
      </c>
      <c r="J18" s="19" t="s">
        <v>26</v>
      </c>
      <c r="K18" s="19" t="s">
        <v>52</v>
      </c>
      <c r="L18" s="22" t="s">
        <v>32</v>
      </c>
      <c r="M18" s="19" t="s">
        <v>296</v>
      </c>
      <c r="N18" s="19" t="s">
        <v>297</v>
      </c>
    </row>
    <row r="19" customFormat="false" ht="38.25" hidden="false" customHeight="true" outlineLevel="0" collapsed="false">
      <c r="A19" s="19" t="s">
        <v>298</v>
      </c>
      <c r="B19" s="19" t="s">
        <v>285</v>
      </c>
      <c r="C19" s="19" t="s">
        <v>299</v>
      </c>
      <c r="D19" s="19" t="s">
        <v>300</v>
      </c>
      <c r="E19" s="19" t="s">
        <v>301</v>
      </c>
      <c r="F19" s="19" t="s">
        <v>271</v>
      </c>
      <c r="G19" s="24" t="s">
        <v>44</v>
      </c>
      <c r="H19" s="19" t="s">
        <v>60</v>
      </c>
      <c r="I19" s="19" t="s">
        <v>60</v>
      </c>
      <c r="J19" s="19" t="s">
        <v>26</v>
      </c>
      <c r="K19" s="19" t="s">
        <v>51</v>
      </c>
      <c r="L19" s="22" t="s">
        <v>32</v>
      </c>
      <c r="M19" s="19" t="s">
        <v>302</v>
      </c>
      <c r="N19" s="19"/>
    </row>
    <row r="20" customFormat="false" ht="25.5" hidden="false" customHeight="true" outlineLevel="0" collapsed="false">
      <c r="A20" s="19" t="s">
        <v>303</v>
      </c>
      <c r="B20" s="19" t="s">
        <v>285</v>
      </c>
      <c r="C20" s="19" t="s">
        <v>304</v>
      </c>
      <c r="D20" s="19" t="s">
        <v>266</v>
      </c>
      <c r="E20" s="19" t="s">
        <v>305</v>
      </c>
      <c r="F20" s="19" t="s">
        <v>306</v>
      </c>
      <c r="G20" s="20" t="s">
        <v>42</v>
      </c>
      <c r="H20" s="19" t="s">
        <v>307</v>
      </c>
      <c r="I20" s="19" t="s">
        <v>59</v>
      </c>
      <c r="J20" s="19" t="s">
        <v>24</v>
      </c>
      <c r="K20" s="19" t="s">
        <v>51</v>
      </c>
      <c r="L20" s="22" t="s">
        <v>32</v>
      </c>
      <c r="M20" s="19" t="s">
        <v>308</v>
      </c>
      <c r="N20" s="19"/>
    </row>
    <row r="21" customFormat="false" ht="38.25" hidden="false" customHeight="true" outlineLevel="0" collapsed="false">
      <c r="A21" s="19" t="s">
        <v>309</v>
      </c>
      <c r="B21" s="19" t="s">
        <v>285</v>
      </c>
      <c r="C21" s="19" t="s">
        <v>310</v>
      </c>
      <c r="D21" s="19" t="s">
        <v>266</v>
      </c>
      <c r="E21" s="19" t="s">
        <v>311</v>
      </c>
      <c r="F21" s="19" t="s">
        <v>312</v>
      </c>
      <c r="G21" s="24" t="s">
        <v>44</v>
      </c>
      <c r="H21" s="19" t="s">
        <v>313</v>
      </c>
      <c r="I21" s="19" t="s">
        <v>59</v>
      </c>
      <c r="J21" s="19" t="s">
        <v>26</v>
      </c>
      <c r="K21" s="19" t="s">
        <v>52</v>
      </c>
      <c r="L21" s="22" t="s">
        <v>32</v>
      </c>
      <c r="M21" s="19" t="s">
        <v>314</v>
      </c>
      <c r="N21" s="19" t="s">
        <v>315</v>
      </c>
    </row>
    <row r="22" customFormat="false" ht="25.5" hidden="false" customHeight="true" outlineLevel="0" collapsed="false">
      <c r="A22" s="19" t="s">
        <v>316</v>
      </c>
      <c r="B22" s="19" t="s">
        <v>285</v>
      </c>
      <c r="C22" s="19" t="s">
        <v>317</v>
      </c>
      <c r="D22" s="19" t="s">
        <v>318</v>
      </c>
      <c r="E22" s="19" t="s">
        <v>319</v>
      </c>
      <c r="F22" s="19" t="s">
        <v>42</v>
      </c>
      <c r="G22" s="20" t="s">
        <v>42</v>
      </c>
      <c r="H22" s="19" t="s">
        <v>320</v>
      </c>
      <c r="I22" s="19" t="s">
        <v>60</v>
      </c>
      <c r="J22" s="19" t="s">
        <v>24</v>
      </c>
      <c r="K22" s="19" t="s">
        <v>51</v>
      </c>
      <c r="L22" s="22" t="s">
        <v>32</v>
      </c>
      <c r="M22" s="19" t="s">
        <v>321</v>
      </c>
      <c r="N22" s="19"/>
    </row>
    <row r="23" customFormat="false" ht="25.5" hidden="false" customHeight="true" outlineLevel="0" collapsed="false">
      <c r="A23" s="19" t="s">
        <v>322</v>
      </c>
      <c r="B23" s="19" t="s">
        <v>285</v>
      </c>
      <c r="C23" s="19" t="s">
        <v>323</v>
      </c>
      <c r="D23" s="19" t="s">
        <v>266</v>
      </c>
      <c r="E23" s="19" t="s">
        <v>324</v>
      </c>
      <c r="F23" s="19" t="s">
        <v>325</v>
      </c>
      <c r="G23" s="20" t="s">
        <v>42</v>
      </c>
      <c r="H23" s="19" t="s">
        <v>59</v>
      </c>
      <c r="I23" s="19" t="s">
        <v>59</v>
      </c>
      <c r="J23" s="19" t="s">
        <v>24</v>
      </c>
      <c r="K23" s="19" t="s">
        <v>51</v>
      </c>
      <c r="L23" s="22" t="s">
        <v>32</v>
      </c>
      <c r="M23" s="19" t="s">
        <v>326</v>
      </c>
      <c r="N23" s="19"/>
    </row>
    <row r="24" customFormat="false" ht="25.5" hidden="false" customHeight="true" outlineLevel="0" collapsed="false">
      <c r="A24" s="19" t="s">
        <v>327</v>
      </c>
      <c r="B24" s="19" t="s">
        <v>285</v>
      </c>
      <c r="C24" s="19" t="s">
        <v>328</v>
      </c>
      <c r="D24" s="19" t="s">
        <v>266</v>
      </c>
      <c r="E24" s="19" t="s">
        <v>329</v>
      </c>
      <c r="F24" s="19" t="s">
        <v>325</v>
      </c>
      <c r="G24" s="20" t="s">
        <v>42</v>
      </c>
      <c r="H24" s="19" t="s">
        <v>60</v>
      </c>
      <c r="I24" s="19" t="s">
        <v>60</v>
      </c>
      <c r="J24" s="19" t="s">
        <v>24</v>
      </c>
      <c r="K24" s="19" t="s">
        <v>40</v>
      </c>
      <c r="L24" s="22" t="s">
        <v>32</v>
      </c>
      <c r="M24" s="19" t="s">
        <v>330</v>
      </c>
      <c r="N24" s="19"/>
    </row>
    <row r="25" customFormat="false" ht="15" hidden="false" customHeight="true" outlineLevel="0" collapsed="false">
      <c r="A25" s="19" t="s">
        <v>331</v>
      </c>
      <c r="B25" s="19" t="s">
        <v>285</v>
      </c>
      <c r="C25" s="19" t="s">
        <v>332</v>
      </c>
      <c r="D25" s="19" t="s">
        <v>266</v>
      </c>
      <c r="E25" s="19" t="s">
        <v>333</v>
      </c>
      <c r="F25" s="19" t="s">
        <v>43</v>
      </c>
      <c r="G25" s="23" t="s">
        <v>43</v>
      </c>
      <c r="H25" s="19" t="s">
        <v>57</v>
      </c>
      <c r="I25" s="19" t="s">
        <v>57</v>
      </c>
      <c r="J25" s="19" t="s">
        <v>24</v>
      </c>
      <c r="K25" s="19" t="s">
        <v>51</v>
      </c>
      <c r="L25" s="22" t="s">
        <v>32</v>
      </c>
      <c r="M25" s="19" t="s">
        <v>334</v>
      </c>
      <c r="N25" s="19"/>
    </row>
    <row r="26" customFormat="false" ht="25.5" hidden="false" customHeight="true" outlineLevel="0" collapsed="false">
      <c r="A26" s="19" t="s">
        <v>335</v>
      </c>
      <c r="B26" s="19" t="s">
        <v>285</v>
      </c>
      <c r="C26" s="19" t="s">
        <v>336</v>
      </c>
      <c r="D26" s="19" t="s">
        <v>266</v>
      </c>
      <c r="E26" s="19" t="s">
        <v>337</v>
      </c>
      <c r="F26" s="19" t="s">
        <v>42</v>
      </c>
      <c r="G26" s="20" t="s">
        <v>42</v>
      </c>
      <c r="H26" s="19" t="s">
        <v>58</v>
      </c>
      <c r="I26" s="19" t="s">
        <v>58</v>
      </c>
      <c r="J26" s="19" t="s">
        <v>24</v>
      </c>
      <c r="K26" s="19" t="s">
        <v>51</v>
      </c>
      <c r="L26" s="22" t="s">
        <v>32</v>
      </c>
      <c r="M26" s="19" t="s">
        <v>338</v>
      </c>
      <c r="N26" s="19"/>
    </row>
    <row r="27" customFormat="false" ht="25.5" hidden="false" customHeight="true" outlineLevel="0" collapsed="false">
      <c r="A27" s="19" t="s">
        <v>339</v>
      </c>
      <c r="B27" s="19" t="s">
        <v>285</v>
      </c>
      <c r="C27" s="19" t="s">
        <v>340</v>
      </c>
      <c r="D27" s="19" t="s">
        <v>266</v>
      </c>
      <c r="E27" s="19" t="s">
        <v>341</v>
      </c>
      <c r="F27" s="19" t="s">
        <v>342</v>
      </c>
      <c r="G27" s="20" t="s">
        <v>42</v>
      </c>
      <c r="H27" s="19" t="s">
        <v>343</v>
      </c>
      <c r="I27" s="19" t="s">
        <v>57</v>
      </c>
      <c r="J27" s="19" t="s">
        <v>24</v>
      </c>
      <c r="K27" s="19" t="s">
        <v>51</v>
      </c>
      <c r="L27" s="22" t="s">
        <v>32</v>
      </c>
      <c r="M27" s="19" t="s">
        <v>344</v>
      </c>
      <c r="N27" s="19"/>
    </row>
    <row r="28" customFormat="false" ht="25.5" hidden="false" customHeight="true" outlineLevel="0" collapsed="false">
      <c r="A28" s="19" t="s">
        <v>345</v>
      </c>
      <c r="B28" s="19" t="s">
        <v>285</v>
      </c>
      <c r="C28" s="19" t="s">
        <v>346</v>
      </c>
      <c r="D28" s="19" t="s">
        <v>266</v>
      </c>
      <c r="E28" s="19" t="s">
        <v>347</v>
      </c>
      <c r="F28" s="19" t="s">
        <v>348</v>
      </c>
      <c r="G28" s="24" t="s">
        <v>44</v>
      </c>
      <c r="H28" s="19" t="s">
        <v>349</v>
      </c>
      <c r="I28" s="19" t="s">
        <v>58</v>
      </c>
      <c r="J28" s="19" t="s">
        <v>26</v>
      </c>
      <c r="K28" s="19" t="s">
        <v>52</v>
      </c>
      <c r="L28" s="22" t="s">
        <v>32</v>
      </c>
      <c r="M28" s="19" t="s">
        <v>350</v>
      </c>
      <c r="N28" s="19" t="s">
        <v>351</v>
      </c>
    </row>
    <row r="29" customFormat="false" ht="51" hidden="false" customHeight="true" outlineLevel="0" collapsed="false">
      <c r="A29" s="19" t="s">
        <v>129</v>
      </c>
      <c r="B29" s="19" t="s">
        <v>285</v>
      </c>
      <c r="C29" s="19" t="s">
        <v>352</v>
      </c>
      <c r="D29" s="19" t="s">
        <v>266</v>
      </c>
      <c r="E29" s="19" t="s">
        <v>353</v>
      </c>
      <c r="F29" s="19" t="s">
        <v>348</v>
      </c>
      <c r="G29" s="24" t="s">
        <v>44</v>
      </c>
      <c r="H29" s="19" t="s">
        <v>61</v>
      </c>
      <c r="I29" s="19" t="s">
        <v>61</v>
      </c>
      <c r="J29" s="19" t="s">
        <v>26</v>
      </c>
      <c r="K29" s="19" t="s">
        <v>52</v>
      </c>
      <c r="L29" s="22" t="s">
        <v>32</v>
      </c>
      <c r="M29" s="19" t="s">
        <v>354</v>
      </c>
      <c r="N29" s="19"/>
    </row>
    <row r="30" customFormat="false" ht="15" hidden="false" customHeight="true" outlineLevel="0" collapsed="false">
      <c r="A30" s="19" t="s">
        <v>355</v>
      </c>
      <c r="B30" s="19" t="s">
        <v>285</v>
      </c>
      <c r="C30" s="19" t="s">
        <v>356</v>
      </c>
      <c r="D30" s="19" t="s">
        <v>266</v>
      </c>
      <c r="E30" s="19" t="s">
        <v>357</v>
      </c>
      <c r="F30" s="19" t="s">
        <v>42</v>
      </c>
      <c r="G30" s="20" t="s">
        <v>42</v>
      </c>
      <c r="H30" s="19" t="s">
        <v>58</v>
      </c>
      <c r="I30" s="19" t="s">
        <v>58</v>
      </c>
      <c r="J30" s="19" t="s">
        <v>24</v>
      </c>
      <c r="K30" s="19" t="s">
        <v>51</v>
      </c>
      <c r="L30" s="22" t="s">
        <v>32</v>
      </c>
      <c r="M30" s="19" t="s">
        <v>358</v>
      </c>
      <c r="N30" s="19"/>
    </row>
    <row r="31" customFormat="false" ht="25.5" hidden="false" customHeight="true" outlineLevel="0" collapsed="false">
      <c r="A31" s="19" t="s">
        <v>359</v>
      </c>
      <c r="B31" s="19" t="s">
        <v>285</v>
      </c>
      <c r="C31" s="19" t="s">
        <v>360</v>
      </c>
      <c r="D31" s="19" t="s">
        <v>266</v>
      </c>
      <c r="E31" s="19" t="s">
        <v>361</v>
      </c>
      <c r="F31" s="19" t="s">
        <v>325</v>
      </c>
      <c r="G31" s="20" t="s">
        <v>42</v>
      </c>
      <c r="H31" s="19" t="s">
        <v>307</v>
      </c>
      <c r="I31" s="19" t="s">
        <v>59</v>
      </c>
      <c r="J31" s="19" t="s">
        <v>24</v>
      </c>
      <c r="K31" s="19" t="s">
        <v>40</v>
      </c>
      <c r="L31" s="22" t="s">
        <v>32</v>
      </c>
      <c r="M31" s="19" t="s">
        <v>362</v>
      </c>
      <c r="N31" s="19"/>
    </row>
    <row r="32" customFormat="false" ht="25.5" hidden="false" customHeight="true" outlineLevel="0" collapsed="false">
      <c r="A32" s="19" t="s">
        <v>102</v>
      </c>
      <c r="B32" s="19" t="s">
        <v>285</v>
      </c>
      <c r="C32" s="19" t="s">
        <v>363</v>
      </c>
      <c r="D32" s="19" t="s">
        <v>266</v>
      </c>
      <c r="E32" s="19" t="s">
        <v>364</v>
      </c>
      <c r="F32" s="19" t="s">
        <v>365</v>
      </c>
      <c r="G32" s="23" t="s">
        <v>43</v>
      </c>
      <c r="H32" s="19" t="s">
        <v>60</v>
      </c>
      <c r="I32" s="19" t="s">
        <v>60</v>
      </c>
      <c r="J32" s="19" t="s">
        <v>24</v>
      </c>
      <c r="K32" s="19" t="s">
        <v>52</v>
      </c>
      <c r="L32" s="22" t="s">
        <v>32</v>
      </c>
      <c r="M32" s="19" t="s">
        <v>366</v>
      </c>
      <c r="N32" s="19"/>
    </row>
    <row r="33" customFormat="false" ht="38.25" hidden="false" customHeight="true" outlineLevel="0" collapsed="false">
      <c r="A33" s="19" t="s">
        <v>123</v>
      </c>
      <c r="B33" s="19" t="s">
        <v>285</v>
      </c>
      <c r="C33" s="19" t="s">
        <v>367</v>
      </c>
      <c r="D33" s="19" t="s">
        <v>266</v>
      </c>
      <c r="E33" s="19" t="s">
        <v>368</v>
      </c>
      <c r="F33" s="19" t="s">
        <v>44</v>
      </c>
      <c r="G33" s="24" t="s">
        <v>44</v>
      </c>
      <c r="H33" s="19" t="s">
        <v>320</v>
      </c>
      <c r="I33" s="19" t="s">
        <v>60</v>
      </c>
      <c r="J33" s="19" t="s">
        <v>26</v>
      </c>
      <c r="K33" s="19" t="s">
        <v>369</v>
      </c>
      <c r="L33" s="22" t="s">
        <v>32</v>
      </c>
      <c r="M33" s="19" t="s">
        <v>370</v>
      </c>
      <c r="N33" s="19"/>
    </row>
    <row r="34" customFormat="false" ht="38.25" hidden="false" customHeight="true" outlineLevel="0" collapsed="false">
      <c r="A34" s="19" t="s">
        <v>127</v>
      </c>
      <c r="B34" s="19" t="s">
        <v>285</v>
      </c>
      <c r="C34" s="19" t="s">
        <v>371</v>
      </c>
      <c r="D34" s="19" t="s">
        <v>266</v>
      </c>
      <c r="E34" s="19" t="s">
        <v>372</v>
      </c>
      <c r="F34" s="19" t="s">
        <v>348</v>
      </c>
      <c r="G34" s="24" t="s">
        <v>44</v>
      </c>
      <c r="H34" s="19" t="s">
        <v>320</v>
      </c>
      <c r="I34" s="19" t="s">
        <v>60</v>
      </c>
      <c r="J34" s="19" t="s">
        <v>26</v>
      </c>
      <c r="K34" s="19" t="s">
        <v>52</v>
      </c>
      <c r="L34" s="22" t="s">
        <v>32</v>
      </c>
      <c r="M34" s="19" t="s">
        <v>373</v>
      </c>
      <c r="N34" s="19"/>
    </row>
    <row r="35" customFormat="false" ht="15" hidden="false" customHeight="true" outlineLevel="0" collapsed="false">
      <c r="A35" s="19" t="s">
        <v>374</v>
      </c>
      <c r="B35" s="19" t="s">
        <v>375</v>
      </c>
      <c r="C35" s="19" t="s">
        <v>376</v>
      </c>
      <c r="D35" s="19" t="s">
        <v>377</v>
      </c>
      <c r="E35" s="19" t="s">
        <v>378</v>
      </c>
      <c r="F35" s="19" t="s">
        <v>43</v>
      </c>
      <c r="G35" s="23" t="s">
        <v>43</v>
      </c>
      <c r="H35" s="19" t="s">
        <v>58</v>
      </c>
      <c r="I35" s="19" t="s">
        <v>58</v>
      </c>
      <c r="J35" s="19" t="s">
        <v>24</v>
      </c>
      <c r="K35" s="19" t="s">
        <v>40</v>
      </c>
      <c r="L35" s="22" t="s">
        <v>32</v>
      </c>
      <c r="M35" s="19" t="s">
        <v>379</v>
      </c>
      <c r="N35" s="19"/>
    </row>
    <row r="36" customFormat="false" ht="25.5" hidden="false" customHeight="true" outlineLevel="0" collapsed="false">
      <c r="A36" s="19" t="s">
        <v>380</v>
      </c>
      <c r="B36" s="19" t="s">
        <v>375</v>
      </c>
      <c r="C36" s="19" t="s">
        <v>381</v>
      </c>
      <c r="D36" s="19" t="s">
        <v>382</v>
      </c>
      <c r="E36" s="19" t="s">
        <v>383</v>
      </c>
      <c r="F36" s="19" t="s">
        <v>384</v>
      </c>
      <c r="G36" s="24" t="s">
        <v>44</v>
      </c>
      <c r="H36" s="19" t="s">
        <v>58</v>
      </c>
      <c r="I36" s="19" t="s">
        <v>58</v>
      </c>
      <c r="J36" s="19" t="s">
        <v>27</v>
      </c>
      <c r="K36" s="19" t="s">
        <v>51</v>
      </c>
      <c r="L36" s="22" t="s">
        <v>32</v>
      </c>
      <c r="M36" s="19" t="s">
        <v>385</v>
      </c>
      <c r="N36" s="19"/>
    </row>
    <row r="37" customFormat="false" ht="25.5" hidden="false" customHeight="true" outlineLevel="0" collapsed="false">
      <c r="A37" s="19" t="s">
        <v>386</v>
      </c>
      <c r="B37" s="19" t="s">
        <v>375</v>
      </c>
      <c r="C37" s="19" t="s">
        <v>387</v>
      </c>
      <c r="D37" s="19" t="s">
        <v>382</v>
      </c>
      <c r="E37" s="19" t="s">
        <v>388</v>
      </c>
      <c r="F37" s="19" t="s">
        <v>389</v>
      </c>
      <c r="G37" s="23" t="s">
        <v>43</v>
      </c>
      <c r="H37" s="19" t="s">
        <v>58</v>
      </c>
      <c r="I37" s="19" t="s">
        <v>58</v>
      </c>
      <c r="J37" s="19" t="s">
        <v>26</v>
      </c>
      <c r="K37" s="19" t="s">
        <v>51</v>
      </c>
      <c r="L37" s="22" t="s">
        <v>32</v>
      </c>
      <c r="M37" s="19" t="s">
        <v>390</v>
      </c>
      <c r="N37" s="19" t="s">
        <v>391</v>
      </c>
    </row>
    <row r="38" customFormat="false" ht="25.5" hidden="false" customHeight="true" outlineLevel="0" collapsed="false">
      <c r="A38" s="19" t="s">
        <v>392</v>
      </c>
      <c r="B38" s="19" t="s">
        <v>375</v>
      </c>
      <c r="C38" s="19" t="s">
        <v>393</v>
      </c>
      <c r="D38" s="19" t="s">
        <v>382</v>
      </c>
      <c r="E38" s="19" t="s">
        <v>394</v>
      </c>
      <c r="F38" s="19" t="s">
        <v>42</v>
      </c>
      <c r="G38" s="20" t="s">
        <v>42</v>
      </c>
      <c r="H38" s="19" t="s">
        <v>395</v>
      </c>
      <c r="I38" s="19" t="s">
        <v>58</v>
      </c>
      <c r="J38" s="19" t="s">
        <v>24</v>
      </c>
      <c r="K38" s="19" t="s">
        <v>51</v>
      </c>
      <c r="L38" s="22" t="s">
        <v>32</v>
      </c>
      <c r="M38" s="19" t="s">
        <v>396</v>
      </c>
      <c r="N38" s="19"/>
    </row>
    <row r="39" customFormat="false" ht="38.25" hidden="false" customHeight="true" outlineLevel="0" collapsed="false">
      <c r="A39" s="19" t="s">
        <v>397</v>
      </c>
      <c r="B39" s="19" t="s">
        <v>375</v>
      </c>
      <c r="C39" s="19" t="s">
        <v>398</v>
      </c>
      <c r="D39" s="19" t="s">
        <v>377</v>
      </c>
      <c r="E39" s="19" t="s">
        <v>399</v>
      </c>
      <c r="F39" s="19" t="s">
        <v>43</v>
      </c>
      <c r="G39" s="23" t="s">
        <v>43</v>
      </c>
      <c r="H39" s="19" t="s">
        <v>59</v>
      </c>
      <c r="I39" s="19" t="s">
        <v>59</v>
      </c>
      <c r="J39" s="19" t="s">
        <v>24</v>
      </c>
      <c r="K39" s="19" t="s">
        <v>51</v>
      </c>
      <c r="L39" s="22" t="s">
        <v>32</v>
      </c>
      <c r="M39" s="19" t="s">
        <v>400</v>
      </c>
      <c r="N39" s="19"/>
    </row>
    <row r="40" customFormat="false" ht="38.25" hidden="false" customHeight="true" outlineLevel="0" collapsed="false">
      <c r="A40" s="19" t="s">
        <v>401</v>
      </c>
      <c r="B40" s="19" t="s">
        <v>375</v>
      </c>
      <c r="C40" s="19" t="s">
        <v>402</v>
      </c>
      <c r="D40" s="19" t="s">
        <v>403</v>
      </c>
      <c r="E40" s="19" t="s">
        <v>404</v>
      </c>
      <c r="F40" s="19" t="s">
        <v>405</v>
      </c>
      <c r="G40" s="23" t="s">
        <v>43</v>
      </c>
      <c r="H40" s="19" t="s">
        <v>58</v>
      </c>
      <c r="I40" s="19" t="s">
        <v>58</v>
      </c>
      <c r="J40" s="19" t="s">
        <v>24</v>
      </c>
      <c r="K40" s="19" t="s">
        <v>406</v>
      </c>
      <c r="L40" s="22" t="s">
        <v>32</v>
      </c>
      <c r="M40" s="19" t="s">
        <v>407</v>
      </c>
      <c r="N40" s="19" t="s">
        <v>408</v>
      </c>
    </row>
    <row r="41" customFormat="false" ht="15" hidden="false" customHeight="true" outlineLevel="0" collapsed="false">
      <c r="A41" s="19" t="s">
        <v>409</v>
      </c>
      <c r="B41" s="19" t="s">
        <v>410</v>
      </c>
      <c r="C41" s="19" t="s">
        <v>411</v>
      </c>
      <c r="D41" s="19" t="s">
        <v>377</v>
      </c>
      <c r="E41" s="19" t="s">
        <v>412</v>
      </c>
      <c r="F41" s="19" t="s">
        <v>43</v>
      </c>
      <c r="G41" s="23" t="s">
        <v>43</v>
      </c>
      <c r="H41" s="19" t="s">
        <v>59</v>
      </c>
      <c r="I41" s="19" t="s">
        <v>59</v>
      </c>
      <c r="J41" s="19" t="s">
        <v>24</v>
      </c>
      <c r="K41" s="19" t="s">
        <v>40</v>
      </c>
      <c r="L41" s="22" t="s">
        <v>32</v>
      </c>
      <c r="M41" s="19" t="s">
        <v>413</v>
      </c>
      <c r="N41" s="19"/>
    </row>
    <row r="42" customFormat="false" ht="25.5" hidden="false" customHeight="true" outlineLevel="0" collapsed="false">
      <c r="A42" s="19" t="s">
        <v>100</v>
      </c>
      <c r="B42" s="19" t="s">
        <v>410</v>
      </c>
      <c r="C42" s="19" t="s">
        <v>414</v>
      </c>
      <c r="D42" s="19" t="s">
        <v>382</v>
      </c>
      <c r="E42" s="19" t="s">
        <v>415</v>
      </c>
      <c r="F42" s="19" t="s">
        <v>42</v>
      </c>
      <c r="G42" s="20" t="s">
        <v>42</v>
      </c>
      <c r="H42" s="19" t="s">
        <v>59</v>
      </c>
      <c r="I42" s="19" t="s">
        <v>59</v>
      </c>
      <c r="J42" s="19" t="s">
        <v>24</v>
      </c>
      <c r="K42" s="19" t="s">
        <v>51</v>
      </c>
      <c r="L42" s="22" t="s">
        <v>32</v>
      </c>
      <c r="M42" s="19" t="s">
        <v>416</v>
      </c>
      <c r="N42" s="19"/>
    </row>
    <row r="43" customFormat="false" ht="25.5" hidden="false" customHeight="true" outlineLevel="0" collapsed="false">
      <c r="A43" s="19" t="s">
        <v>417</v>
      </c>
      <c r="B43" s="19" t="s">
        <v>410</v>
      </c>
      <c r="C43" s="19" t="s">
        <v>418</v>
      </c>
      <c r="D43" s="19" t="s">
        <v>382</v>
      </c>
      <c r="E43" s="19" t="s">
        <v>419</v>
      </c>
      <c r="F43" s="19" t="s">
        <v>420</v>
      </c>
      <c r="G43" s="24" t="s">
        <v>44</v>
      </c>
      <c r="H43" s="19" t="s">
        <v>59</v>
      </c>
      <c r="I43" s="19" t="s">
        <v>59</v>
      </c>
      <c r="J43" s="19" t="s">
        <v>26</v>
      </c>
      <c r="K43" s="19" t="s">
        <v>51</v>
      </c>
      <c r="L43" s="22" t="s">
        <v>32</v>
      </c>
      <c r="M43" s="19" t="s">
        <v>421</v>
      </c>
      <c r="N43" s="19"/>
    </row>
    <row r="44" customFormat="false" ht="25.5" hidden="false" customHeight="true" outlineLevel="0" collapsed="false">
      <c r="A44" s="19" t="s">
        <v>422</v>
      </c>
      <c r="B44" s="19" t="s">
        <v>410</v>
      </c>
      <c r="C44" s="19" t="s">
        <v>423</v>
      </c>
      <c r="D44" s="19" t="s">
        <v>382</v>
      </c>
      <c r="E44" s="19" t="s">
        <v>424</v>
      </c>
      <c r="F44" s="19" t="s">
        <v>306</v>
      </c>
      <c r="G44" s="20" t="s">
        <v>42</v>
      </c>
      <c r="H44" s="19" t="s">
        <v>59</v>
      </c>
      <c r="I44" s="19" t="s">
        <v>59</v>
      </c>
      <c r="J44" s="19" t="s">
        <v>24</v>
      </c>
      <c r="K44" s="19" t="s">
        <v>51</v>
      </c>
      <c r="L44" s="22" t="s">
        <v>32</v>
      </c>
      <c r="M44" s="19" t="s">
        <v>425</v>
      </c>
      <c r="N44" s="19"/>
    </row>
    <row r="45" customFormat="false" ht="25.5" hidden="false" customHeight="true" outlineLevel="0" collapsed="false">
      <c r="A45" s="19" t="s">
        <v>426</v>
      </c>
      <c r="B45" s="19" t="s">
        <v>410</v>
      </c>
      <c r="C45" s="19" t="s">
        <v>427</v>
      </c>
      <c r="D45" s="19" t="s">
        <v>382</v>
      </c>
      <c r="E45" s="19" t="s">
        <v>428</v>
      </c>
      <c r="F45" s="19" t="s">
        <v>429</v>
      </c>
      <c r="G45" s="24" t="s">
        <v>44</v>
      </c>
      <c r="H45" s="19" t="s">
        <v>59</v>
      </c>
      <c r="I45" s="19" t="s">
        <v>59</v>
      </c>
      <c r="J45" s="19" t="s">
        <v>24</v>
      </c>
      <c r="K45" s="19" t="s">
        <v>40</v>
      </c>
      <c r="L45" s="22" t="s">
        <v>32</v>
      </c>
      <c r="M45" s="19" t="s">
        <v>430</v>
      </c>
      <c r="N45" s="19"/>
    </row>
    <row r="46" customFormat="false" ht="25.5" hidden="false" customHeight="true" outlineLevel="0" collapsed="false">
      <c r="A46" s="19" t="s">
        <v>431</v>
      </c>
      <c r="B46" s="19" t="s">
        <v>410</v>
      </c>
      <c r="C46" s="19" t="s">
        <v>432</v>
      </c>
      <c r="D46" s="19" t="s">
        <v>382</v>
      </c>
      <c r="E46" s="19" t="s">
        <v>433</v>
      </c>
      <c r="F46" s="19" t="s">
        <v>42</v>
      </c>
      <c r="G46" s="20" t="s">
        <v>42</v>
      </c>
      <c r="H46" s="19" t="s">
        <v>59</v>
      </c>
      <c r="I46" s="19" t="s">
        <v>59</v>
      </c>
      <c r="J46" s="19" t="s">
        <v>24</v>
      </c>
      <c r="K46" s="19" t="s">
        <v>51</v>
      </c>
      <c r="L46" s="22" t="s">
        <v>32</v>
      </c>
      <c r="M46" s="19" t="s">
        <v>434</v>
      </c>
      <c r="N46" s="19"/>
    </row>
    <row r="47" customFormat="false" ht="25.5" hidden="false" customHeight="true" outlineLevel="0" collapsed="false">
      <c r="A47" s="19" t="s">
        <v>435</v>
      </c>
      <c r="B47" s="19" t="s">
        <v>410</v>
      </c>
      <c r="C47" s="19" t="s">
        <v>436</v>
      </c>
      <c r="D47" s="19" t="s">
        <v>382</v>
      </c>
      <c r="E47" s="19" t="s">
        <v>437</v>
      </c>
      <c r="F47" s="19" t="s">
        <v>438</v>
      </c>
      <c r="G47" s="20" t="s">
        <v>42</v>
      </c>
      <c r="H47" s="19" t="s">
        <v>59</v>
      </c>
      <c r="I47" s="19" t="s">
        <v>59</v>
      </c>
      <c r="J47" s="19" t="s">
        <v>26</v>
      </c>
      <c r="K47" s="19" t="s">
        <v>51</v>
      </c>
      <c r="L47" s="22" t="s">
        <v>32</v>
      </c>
      <c r="M47" s="19" t="s">
        <v>439</v>
      </c>
      <c r="N47" s="19"/>
    </row>
    <row r="48" customFormat="false" ht="51" hidden="false" customHeight="true" outlineLevel="0" collapsed="false">
      <c r="A48" s="19" t="s">
        <v>440</v>
      </c>
      <c r="B48" s="19" t="s">
        <v>410</v>
      </c>
      <c r="C48" s="19" t="s">
        <v>441</v>
      </c>
      <c r="D48" s="19" t="s">
        <v>442</v>
      </c>
      <c r="E48" s="19" t="s">
        <v>443</v>
      </c>
      <c r="F48" s="19" t="s">
        <v>384</v>
      </c>
      <c r="G48" s="24" t="s">
        <v>44</v>
      </c>
      <c r="H48" s="19" t="s">
        <v>313</v>
      </c>
      <c r="I48" s="19" t="s">
        <v>59</v>
      </c>
      <c r="J48" s="19" t="s">
        <v>26</v>
      </c>
      <c r="K48" s="19" t="s">
        <v>52</v>
      </c>
      <c r="L48" s="22" t="s">
        <v>32</v>
      </c>
      <c r="M48" s="19" t="s">
        <v>444</v>
      </c>
      <c r="N48" s="19" t="s">
        <v>445</v>
      </c>
    </row>
    <row r="49" customFormat="false" ht="25.5" hidden="false" customHeight="true" outlineLevel="0" collapsed="false">
      <c r="A49" s="19" t="s">
        <v>446</v>
      </c>
      <c r="B49" s="19" t="s">
        <v>410</v>
      </c>
      <c r="C49" s="19" t="s">
        <v>447</v>
      </c>
      <c r="D49" s="19" t="s">
        <v>382</v>
      </c>
      <c r="E49" s="19" t="s">
        <v>448</v>
      </c>
      <c r="F49" s="19" t="s">
        <v>449</v>
      </c>
      <c r="G49" s="24" t="s">
        <v>44</v>
      </c>
      <c r="H49" s="19" t="s">
        <v>59</v>
      </c>
      <c r="I49" s="19" t="s">
        <v>59</v>
      </c>
      <c r="J49" s="19" t="s">
        <v>24</v>
      </c>
      <c r="K49" s="19" t="s">
        <v>52</v>
      </c>
      <c r="L49" s="22" t="s">
        <v>32</v>
      </c>
      <c r="M49" s="19" t="s">
        <v>450</v>
      </c>
      <c r="N49" s="19"/>
    </row>
    <row r="50" customFormat="false" ht="25.5" hidden="false" customHeight="true" outlineLevel="0" collapsed="false">
      <c r="A50" s="19" t="s">
        <v>451</v>
      </c>
      <c r="B50" s="19" t="s">
        <v>410</v>
      </c>
      <c r="C50" s="19" t="s">
        <v>452</v>
      </c>
      <c r="D50" s="19" t="s">
        <v>382</v>
      </c>
      <c r="E50" s="19" t="s">
        <v>453</v>
      </c>
      <c r="F50" s="19" t="s">
        <v>454</v>
      </c>
      <c r="G50" s="20" t="s">
        <v>42</v>
      </c>
      <c r="H50" s="19" t="s">
        <v>59</v>
      </c>
      <c r="I50" s="19" t="s">
        <v>59</v>
      </c>
      <c r="J50" s="19" t="s">
        <v>24</v>
      </c>
      <c r="K50" s="19" t="s">
        <v>51</v>
      </c>
      <c r="L50" s="22" t="s">
        <v>32</v>
      </c>
      <c r="M50" s="19" t="s">
        <v>455</v>
      </c>
      <c r="N50" s="19"/>
    </row>
    <row r="51" customFormat="false" ht="25.5" hidden="false" customHeight="true" outlineLevel="0" collapsed="false">
      <c r="A51" s="19" t="s">
        <v>456</v>
      </c>
      <c r="B51" s="19" t="s">
        <v>410</v>
      </c>
      <c r="C51" s="19" t="s">
        <v>457</v>
      </c>
      <c r="D51" s="19" t="s">
        <v>382</v>
      </c>
      <c r="E51" s="19" t="s">
        <v>458</v>
      </c>
      <c r="F51" s="19" t="s">
        <v>271</v>
      </c>
      <c r="G51" s="24" t="s">
        <v>44</v>
      </c>
      <c r="H51" s="19" t="s">
        <v>60</v>
      </c>
      <c r="I51" s="19" t="s">
        <v>60</v>
      </c>
      <c r="J51" s="19" t="s">
        <v>26</v>
      </c>
      <c r="K51" s="19" t="s">
        <v>51</v>
      </c>
      <c r="L51" s="22" t="s">
        <v>32</v>
      </c>
      <c r="M51" s="19" t="s">
        <v>459</v>
      </c>
      <c r="N51" s="19"/>
    </row>
    <row r="52" customFormat="false" ht="25.5" hidden="false" customHeight="true" outlineLevel="0" collapsed="false">
      <c r="A52" s="19" t="s">
        <v>460</v>
      </c>
      <c r="B52" s="19" t="s">
        <v>410</v>
      </c>
      <c r="C52" s="19" t="s">
        <v>461</v>
      </c>
      <c r="D52" s="19" t="s">
        <v>382</v>
      </c>
      <c r="E52" s="19" t="s">
        <v>462</v>
      </c>
      <c r="F52" s="19" t="s">
        <v>365</v>
      </c>
      <c r="G52" s="23" t="s">
        <v>43</v>
      </c>
      <c r="H52" s="19" t="s">
        <v>60</v>
      </c>
      <c r="I52" s="19" t="s">
        <v>60</v>
      </c>
      <c r="J52" s="19" t="s">
        <v>24</v>
      </c>
      <c r="K52" s="19" t="s">
        <v>40</v>
      </c>
      <c r="L52" s="22" t="s">
        <v>32</v>
      </c>
      <c r="M52" s="19" t="s">
        <v>463</v>
      </c>
      <c r="N52" s="19"/>
    </row>
    <row r="53" customFormat="false" ht="25.5" hidden="false" customHeight="true" outlineLevel="0" collapsed="false">
      <c r="A53" s="19" t="s">
        <v>464</v>
      </c>
      <c r="B53" s="19" t="s">
        <v>410</v>
      </c>
      <c r="C53" s="19" t="s">
        <v>465</v>
      </c>
      <c r="D53" s="19" t="s">
        <v>466</v>
      </c>
      <c r="E53" s="19" t="s">
        <v>467</v>
      </c>
      <c r="F53" s="19" t="s">
        <v>468</v>
      </c>
      <c r="G53" s="20" t="s">
        <v>42</v>
      </c>
      <c r="H53" s="19" t="s">
        <v>60</v>
      </c>
      <c r="I53" s="19" t="s">
        <v>60</v>
      </c>
      <c r="J53" s="19" t="s">
        <v>24</v>
      </c>
      <c r="K53" s="19" t="s">
        <v>52</v>
      </c>
      <c r="L53" s="22" t="s">
        <v>32</v>
      </c>
      <c r="M53" s="19" t="s">
        <v>469</v>
      </c>
      <c r="N53" s="19"/>
    </row>
    <row r="54" customFormat="false" ht="51" hidden="false" customHeight="true" outlineLevel="0" collapsed="false">
      <c r="A54" s="19" t="s">
        <v>145</v>
      </c>
      <c r="B54" s="19" t="s">
        <v>470</v>
      </c>
      <c r="C54" s="19" t="s">
        <v>471</v>
      </c>
      <c r="D54" s="19" t="s">
        <v>472</v>
      </c>
      <c r="E54" s="19" t="s">
        <v>473</v>
      </c>
      <c r="F54" s="19" t="s">
        <v>468</v>
      </c>
      <c r="G54" s="20" t="s">
        <v>42</v>
      </c>
      <c r="H54" s="19" t="s">
        <v>60</v>
      </c>
      <c r="I54" s="19" t="s">
        <v>60</v>
      </c>
      <c r="J54" s="19" t="s">
        <v>24</v>
      </c>
      <c r="K54" s="19" t="s">
        <v>40</v>
      </c>
      <c r="L54" s="22" t="s">
        <v>32</v>
      </c>
      <c r="M54" s="19" t="s">
        <v>474</v>
      </c>
      <c r="N54" s="19"/>
    </row>
    <row r="55" customFormat="false" ht="25.5" hidden="false" customHeight="true" outlineLevel="0" collapsed="false">
      <c r="A55" s="19" t="s">
        <v>475</v>
      </c>
      <c r="B55" s="19" t="s">
        <v>476</v>
      </c>
      <c r="C55" s="19" t="s">
        <v>477</v>
      </c>
      <c r="D55" s="19" t="s">
        <v>478</v>
      </c>
      <c r="E55" s="19" t="s">
        <v>479</v>
      </c>
      <c r="F55" s="19" t="s">
        <v>468</v>
      </c>
      <c r="G55" s="20" t="s">
        <v>42</v>
      </c>
      <c r="H55" s="19" t="s">
        <v>307</v>
      </c>
      <c r="I55" s="19" t="s">
        <v>59</v>
      </c>
      <c r="J55" s="19" t="s">
        <v>24</v>
      </c>
      <c r="K55" s="19" t="s">
        <v>40</v>
      </c>
      <c r="L55" s="22" t="s">
        <v>32</v>
      </c>
      <c r="M55" s="19" t="s">
        <v>480</v>
      </c>
      <c r="N55" s="19"/>
    </row>
    <row r="56" customFormat="false" ht="25.5" hidden="false" customHeight="true" outlineLevel="0" collapsed="false">
      <c r="A56" s="19" t="s">
        <v>88</v>
      </c>
      <c r="B56" s="19" t="s">
        <v>481</v>
      </c>
      <c r="C56" s="19" t="s">
        <v>482</v>
      </c>
      <c r="D56" s="19" t="s">
        <v>483</v>
      </c>
      <c r="E56" s="19" t="s">
        <v>484</v>
      </c>
      <c r="F56" s="19" t="s">
        <v>42</v>
      </c>
      <c r="G56" s="20" t="s">
        <v>42</v>
      </c>
      <c r="H56" s="19" t="s">
        <v>61</v>
      </c>
      <c r="I56" s="19" t="s">
        <v>61</v>
      </c>
      <c r="J56" s="19" t="s">
        <v>24</v>
      </c>
      <c r="K56" s="19" t="s">
        <v>51</v>
      </c>
      <c r="L56" s="22" t="s">
        <v>32</v>
      </c>
      <c r="M56" s="19" t="s">
        <v>485</v>
      </c>
      <c r="N56" s="19"/>
    </row>
    <row r="57" customFormat="false" ht="25.5" hidden="false" customHeight="true" outlineLevel="0" collapsed="false">
      <c r="A57" s="19" t="s">
        <v>486</v>
      </c>
      <c r="B57" s="19" t="s">
        <v>481</v>
      </c>
      <c r="C57" s="19" t="s">
        <v>487</v>
      </c>
      <c r="D57" s="19" t="s">
        <v>488</v>
      </c>
      <c r="E57" s="19" t="s">
        <v>489</v>
      </c>
      <c r="F57" s="19" t="s">
        <v>42</v>
      </c>
      <c r="G57" s="20" t="s">
        <v>42</v>
      </c>
      <c r="H57" s="19" t="s">
        <v>61</v>
      </c>
      <c r="I57" s="19" t="s">
        <v>61</v>
      </c>
      <c r="J57" s="19" t="s">
        <v>24</v>
      </c>
      <c r="K57" s="19" t="s">
        <v>51</v>
      </c>
      <c r="L57" s="22" t="s">
        <v>32</v>
      </c>
      <c r="M57" s="19" t="s">
        <v>490</v>
      </c>
      <c r="N57" s="19" t="s">
        <v>491</v>
      </c>
    </row>
    <row r="58" customFormat="false" ht="25.5" hidden="false" customHeight="true" outlineLevel="0" collapsed="false">
      <c r="A58" s="19" t="s">
        <v>492</v>
      </c>
      <c r="B58" s="19" t="s">
        <v>481</v>
      </c>
      <c r="C58" s="19" t="s">
        <v>493</v>
      </c>
      <c r="D58" s="19" t="s">
        <v>483</v>
      </c>
      <c r="E58" s="19" t="s">
        <v>494</v>
      </c>
      <c r="F58" s="19" t="s">
        <v>42</v>
      </c>
      <c r="G58" s="20" t="s">
        <v>42</v>
      </c>
      <c r="H58" s="19" t="s">
        <v>61</v>
      </c>
      <c r="I58" s="19" t="s">
        <v>61</v>
      </c>
      <c r="J58" s="19" t="s">
        <v>24</v>
      </c>
      <c r="K58" s="19" t="s">
        <v>51</v>
      </c>
      <c r="L58" s="22" t="s">
        <v>32</v>
      </c>
      <c r="M58" s="19" t="s">
        <v>495</v>
      </c>
      <c r="N58" s="19"/>
    </row>
    <row r="59" customFormat="false" ht="25.5" hidden="false" customHeight="true" outlineLevel="0" collapsed="false">
      <c r="A59" s="19" t="s">
        <v>496</v>
      </c>
      <c r="B59" s="19" t="s">
        <v>481</v>
      </c>
      <c r="C59" s="19" t="s">
        <v>497</v>
      </c>
      <c r="D59" s="19" t="s">
        <v>483</v>
      </c>
      <c r="E59" s="19" t="s">
        <v>498</v>
      </c>
      <c r="F59" s="19" t="s">
        <v>42</v>
      </c>
      <c r="G59" s="20" t="s">
        <v>42</v>
      </c>
      <c r="H59" s="19" t="s">
        <v>61</v>
      </c>
      <c r="I59" s="19" t="s">
        <v>61</v>
      </c>
      <c r="J59" s="19" t="s">
        <v>24</v>
      </c>
      <c r="K59" s="19" t="s">
        <v>51</v>
      </c>
      <c r="L59" s="22" t="s">
        <v>32</v>
      </c>
      <c r="M59" s="19" t="s">
        <v>499</v>
      </c>
      <c r="N59" s="19"/>
    </row>
    <row r="60" customFormat="false" ht="38.25" hidden="false" customHeight="true" outlineLevel="0" collapsed="false">
      <c r="A60" s="19" t="s">
        <v>148</v>
      </c>
      <c r="B60" s="19" t="s">
        <v>481</v>
      </c>
      <c r="C60" s="19" t="s">
        <v>500</v>
      </c>
      <c r="D60" s="19" t="s">
        <v>488</v>
      </c>
      <c r="E60" s="19" t="s">
        <v>501</v>
      </c>
      <c r="F60" s="19" t="s">
        <v>502</v>
      </c>
      <c r="G60" s="24" t="s">
        <v>44</v>
      </c>
      <c r="H60" s="19" t="s">
        <v>61</v>
      </c>
      <c r="I60" s="19" t="s">
        <v>61</v>
      </c>
      <c r="J60" s="19" t="s">
        <v>24</v>
      </c>
      <c r="K60" s="19" t="s">
        <v>52</v>
      </c>
      <c r="L60" s="22" t="s">
        <v>32</v>
      </c>
      <c r="M60" s="19" t="s">
        <v>503</v>
      </c>
      <c r="N60" s="19" t="s">
        <v>504</v>
      </c>
    </row>
    <row r="61" customFormat="false" ht="38.25" hidden="false" customHeight="true" outlineLevel="0" collapsed="false">
      <c r="A61" s="19" t="s">
        <v>505</v>
      </c>
      <c r="B61" s="19" t="s">
        <v>481</v>
      </c>
      <c r="C61" s="19" t="s">
        <v>506</v>
      </c>
      <c r="D61" s="19" t="s">
        <v>483</v>
      </c>
      <c r="E61" s="19" t="s">
        <v>507</v>
      </c>
      <c r="F61" s="19" t="s">
        <v>42</v>
      </c>
      <c r="G61" s="20" t="s">
        <v>42</v>
      </c>
      <c r="H61" s="19" t="s">
        <v>61</v>
      </c>
      <c r="I61" s="19" t="s">
        <v>61</v>
      </c>
      <c r="J61" s="19" t="s">
        <v>24</v>
      </c>
      <c r="K61" s="19" t="s">
        <v>51</v>
      </c>
      <c r="L61" s="22" t="s">
        <v>32</v>
      </c>
      <c r="M61" s="19" t="s">
        <v>508</v>
      </c>
      <c r="N61" s="19"/>
    </row>
    <row r="62" customFormat="false" ht="25.5" hidden="false" customHeight="true" outlineLevel="0" collapsed="false">
      <c r="A62" s="19" t="s">
        <v>509</v>
      </c>
      <c r="B62" s="19" t="s">
        <v>481</v>
      </c>
      <c r="C62" s="19" t="s">
        <v>510</v>
      </c>
      <c r="D62" s="19" t="s">
        <v>483</v>
      </c>
      <c r="E62" s="19" t="s">
        <v>511</v>
      </c>
      <c r="F62" s="19" t="s">
        <v>43</v>
      </c>
      <c r="G62" s="23" t="s">
        <v>43</v>
      </c>
      <c r="H62" s="19" t="s">
        <v>61</v>
      </c>
      <c r="I62" s="19" t="s">
        <v>61</v>
      </c>
      <c r="J62" s="19" t="s">
        <v>24</v>
      </c>
      <c r="K62" s="19" t="s">
        <v>51</v>
      </c>
      <c r="L62" s="22" t="s">
        <v>32</v>
      </c>
      <c r="M62" s="19" t="s">
        <v>512</v>
      </c>
      <c r="N62" s="19"/>
    </row>
    <row r="63" customFormat="false" ht="15" hidden="false" customHeight="true" outlineLevel="0" collapsed="false">
      <c r="A63" s="19" t="s">
        <v>513</v>
      </c>
      <c r="B63" s="19" t="s">
        <v>481</v>
      </c>
      <c r="C63" s="19" t="s">
        <v>514</v>
      </c>
      <c r="D63" s="19" t="s">
        <v>483</v>
      </c>
      <c r="E63" s="19" t="s">
        <v>515</v>
      </c>
      <c r="F63" s="19" t="s">
        <v>42</v>
      </c>
      <c r="G63" s="20" t="s">
        <v>42</v>
      </c>
      <c r="H63" s="19" t="s">
        <v>61</v>
      </c>
      <c r="I63" s="19" t="s">
        <v>61</v>
      </c>
      <c r="J63" s="19" t="s">
        <v>24</v>
      </c>
      <c r="K63" s="19" t="s">
        <v>51</v>
      </c>
      <c r="L63" s="22" t="s">
        <v>32</v>
      </c>
      <c r="M63" s="19" t="s">
        <v>516</v>
      </c>
      <c r="N63" s="19"/>
    </row>
    <row r="64" customFormat="false" ht="38.25" hidden="false" customHeight="true" outlineLevel="0" collapsed="false">
      <c r="A64" s="19" t="s">
        <v>517</v>
      </c>
      <c r="B64" s="19" t="s">
        <v>481</v>
      </c>
      <c r="C64" s="19" t="s">
        <v>518</v>
      </c>
      <c r="D64" s="19" t="s">
        <v>483</v>
      </c>
      <c r="E64" s="19" t="s">
        <v>519</v>
      </c>
      <c r="F64" s="19" t="s">
        <v>42</v>
      </c>
      <c r="G64" s="20" t="s">
        <v>42</v>
      </c>
      <c r="H64" s="19" t="s">
        <v>61</v>
      </c>
      <c r="I64" s="19" t="s">
        <v>61</v>
      </c>
      <c r="J64" s="19" t="s">
        <v>24</v>
      </c>
      <c r="K64" s="19" t="s">
        <v>52</v>
      </c>
      <c r="L64" s="22" t="s">
        <v>32</v>
      </c>
      <c r="M64" s="19" t="s">
        <v>520</v>
      </c>
      <c r="N64" s="19"/>
    </row>
    <row r="65" customFormat="false" ht="25.5" hidden="false" customHeight="true" outlineLevel="0" collapsed="false">
      <c r="A65" s="19" t="s">
        <v>521</v>
      </c>
      <c r="B65" s="19" t="s">
        <v>481</v>
      </c>
      <c r="C65" s="19" t="s">
        <v>522</v>
      </c>
      <c r="D65" s="19" t="s">
        <v>483</v>
      </c>
      <c r="E65" s="19" t="s">
        <v>523</v>
      </c>
      <c r="F65" s="19" t="s">
        <v>42</v>
      </c>
      <c r="G65" s="20" t="s">
        <v>42</v>
      </c>
      <c r="H65" s="19" t="s">
        <v>524</v>
      </c>
      <c r="I65" s="19" t="s">
        <v>61</v>
      </c>
      <c r="J65" s="19" t="s">
        <v>24</v>
      </c>
      <c r="K65" s="19" t="s">
        <v>51</v>
      </c>
      <c r="L65" s="22" t="s">
        <v>32</v>
      </c>
      <c r="M65" s="19" t="s">
        <v>525</v>
      </c>
      <c r="N65" s="19"/>
    </row>
    <row r="66" customFormat="false" ht="25.5" hidden="false" customHeight="true" outlineLevel="0" collapsed="false">
      <c r="A66" s="19" t="s">
        <v>526</v>
      </c>
      <c r="B66" s="19" t="s">
        <v>481</v>
      </c>
      <c r="C66" s="19" t="s">
        <v>527</v>
      </c>
      <c r="D66" s="19" t="s">
        <v>488</v>
      </c>
      <c r="E66" s="19" t="s">
        <v>528</v>
      </c>
      <c r="F66" s="19" t="s">
        <v>42</v>
      </c>
      <c r="G66" s="20" t="s">
        <v>42</v>
      </c>
      <c r="H66" s="19" t="s">
        <v>61</v>
      </c>
      <c r="I66" s="19" t="s">
        <v>61</v>
      </c>
      <c r="J66" s="19" t="s">
        <v>24</v>
      </c>
      <c r="K66" s="19" t="s">
        <v>51</v>
      </c>
      <c r="L66" s="22" t="s">
        <v>32</v>
      </c>
      <c r="M66" s="19" t="s">
        <v>529</v>
      </c>
      <c r="N66" s="19"/>
    </row>
    <row r="67" customFormat="false" ht="25.5" hidden="false" customHeight="true" outlineLevel="0" collapsed="false">
      <c r="A67" s="19" t="s">
        <v>530</v>
      </c>
      <c r="B67" s="19" t="s">
        <v>481</v>
      </c>
      <c r="C67" s="19" t="s">
        <v>531</v>
      </c>
      <c r="D67" s="19" t="s">
        <v>488</v>
      </c>
      <c r="E67" s="19" t="s">
        <v>532</v>
      </c>
      <c r="F67" s="19" t="s">
        <v>42</v>
      </c>
      <c r="G67" s="20" t="s">
        <v>42</v>
      </c>
      <c r="H67" s="19" t="s">
        <v>61</v>
      </c>
      <c r="I67" s="19" t="s">
        <v>61</v>
      </c>
      <c r="J67" s="19" t="s">
        <v>24</v>
      </c>
      <c r="K67" s="19" t="s">
        <v>51</v>
      </c>
      <c r="L67" s="22" t="s">
        <v>32</v>
      </c>
      <c r="M67" s="19" t="s">
        <v>533</v>
      </c>
      <c r="N67" s="19"/>
    </row>
    <row r="68" customFormat="false" ht="25.5" hidden="false" customHeight="true" outlineLevel="0" collapsed="false">
      <c r="A68" s="19" t="s">
        <v>534</v>
      </c>
      <c r="B68" s="19" t="s">
        <v>481</v>
      </c>
      <c r="C68" s="19" t="s">
        <v>535</v>
      </c>
      <c r="D68" s="19" t="s">
        <v>483</v>
      </c>
      <c r="E68" s="19" t="s">
        <v>536</v>
      </c>
      <c r="F68" s="19" t="s">
        <v>449</v>
      </c>
      <c r="G68" s="24" t="s">
        <v>44</v>
      </c>
      <c r="H68" s="19" t="s">
        <v>61</v>
      </c>
      <c r="I68" s="19" t="s">
        <v>61</v>
      </c>
      <c r="J68" s="19" t="s">
        <v>26</v>
      </c>
      <c r="K68" s="19" t="s">
        <v>40</v>
      </c>
      <c r="L68" s="22" t="s">
        <v>32</v>
      </c>
      <c r="M68" s="19" t="s">
        <v>537</v>
      </c>
      <c r="N68" s="19"/>
    </row>
    <row r="69" customFormat="false" ht="102" hidden="false" customHeight="true" outlineLevel="0" collapsed="false">
      <c r="A69" s="19" t="s">
        <v>538</v>
      </c>
      <c r="B69" s="19" t="s">
        <v>481</v>
      </c>
      <c r="C69" s="19" t="s">
        <v>539</v>
      </c>
      <c r="D69" s="19" t="s">
        <v>483</v>
      </c>
      <c r="E69" s="19" t="s">
        <v>540</v>
      </c>
      <c r="F69" s="19" t="s">
        <v>42</v>
      </c>
      <c r="G69" s="20" t="s">
        <v>42</v>
      </c>
      <c r="H69" s="19" t="s">
        <v>61</v>
      </c>
      <c r="I69" s="19" t="s">
        <v>61</v>
      </c>
      <c r="J69" s="19" t="s">
        <v>24</v>
      </c>
      <c r="K69" s="19" t="s">
        <v>51</v>
      </c>
      <c r="L69" s="22" t="s">
        <v>32</v>
      </c>
      <c r="M69" s="19" t="s">
        <v>541</v>
      </c>
      <c r="N69" s="19" t="s">
        <v>542</v>
      </c>
    </row>
    <row r="70" customFormat="false" ht="25.5" hidden="false" customHeight="true" outlineLevel="0" collapsed="false">
      <c r="A70" s="19" t="s">
        <v>543</v>
      </c>
      <c r="B70" s="19" t="s">
        <v>544</v>
      </c>
      <c r="C70" s="19" t="s">
        <v>545</v>
      </c>
      <c r="D70" s="19" t="s">
        <v>403</v>
      </c>
      <c r="E70" s="19" t="s">
        <v>546</v>
      </c>
      <c r="F70" s="19" t="s">
        <v>42</v>
      </c>
      <c r="G70" s="20" t="s">
        <v>42</v>
      </c>
      <c r="H70" s="19" t="s">
        <v>62</v>
      </c>
      <c r="I70" s="19" t="s">
        <v>62</v>
      </c>
      <c r="J70" s="19" t="s">
        <v>26</v>
      </c>
      <c r="K70" s="19" t="s">
        <v>51</v>
      </c>
      <c r="L70" s="22" t="s">
        <v>32</v>
      </c>
      <c r="M70" s="19" t="s">
        <v>547</v>
      </c>
      <c r="N70" s="19"/>
    </row>
    <row r="71" customFormat="false" ht="89.25" hidden="false" customHeight="true" outlineLevel="0" collapsed="false">
      <c r="A71" s="19" t="s">
        <v>176</v>
      </c>
      <c r="B71" s="19" t="s">
        <v>544</v>
      </c>
      <c r="C71" s="19" t="s">
        <v>548</v>
      </c>
      <c r="D71" s="19" t="s">
        <v>403</v>
      </c>
      <c r="E71" s="19" t="s">
        <v>549</v>
      </c>
      <c r="F71" s="19" t="s">
        <v>47</v>
      </c>
      <c r="G71" s="30" t="s">
        <v>47</v>
      </c>
      <c r="H71" s="19" t="s">
        <v>57</v>
      </c>
      <c r="I71" s="19" t="s">
        <v>57</v>
      </c>
      <c r="J71" s="19" t="s">
        <v>550</v>
      </c>
      <c r="K71" s="19" t="s">
        <v>52</v>
      </c>
      <c r="L71" s="22" t="s">
        <v>32</v>
      </c>
      <c r="M71" s="19" t="s">
        <v>551</v>
      </c>
      <c r="N71" s="19" t="s">
        <v>552</v>
      </c>
    </row>
    <row r="72" customFormat="false" ht="102" hidden="false" customHeight="true" outlineLevel="0" collapsed="false">
      <c r="A72" s="19" t="s">
        <v>173</v>
      </c>
      <c r="B72" s="19" t="s">
        <v>544</v>
      </c>
      <c r="C72" s="19" t="s">
        <v>553</v>
      </c>
      <c r="D72" s="19" t="s">
        <v>403</v>
      </c>
      <c r="E72" s="19" t="s">
        <v>554</v>
      </c>
      <c r="F72" s="19" t="s">
        <v>45</v>
      </c>
      <c r="G72" s="31" t="s">
        <v>45</v>
      </c>
      <c r="H72" s="19" t="s">
        <v>62</v>
      </c>
      <c r="I72" s="19" t="s">
        <v>62</v>
      </c>
      <c r="J72" s="19" t="s">
        <v>26</v>
      </c>
      <c r="K72" s="19" t="s">
        <v>52</v>
      </c>
      <c r="L72" s="22" t="s">
        <v>32</v>
      </c>
      <c r="M72" s="19" t="s">
        <v>555</v>
      </c>
      <c r="N72" s="19" t="s">
        <v>556</v>
      </c>
    </row>
    <row r="73" customFormat="false" ht="25.5" hidden="false" customHeight="true" outlineLevel="0" collapsed="false">
      <c r="A73" s="19" t="s">
        <v>557</v>
      </c>
      <c r="B73" s="19" t="s">
        <v>544</v>
      </c>
      <c r="C73" s="19" t="s">
        <v>558</v>
      </c>
      <c r="D73" s="19" t="s">
        <v>403</v>
      </c>
      <c r="E73" s="19" t="s">
        <v>559</v>
      </c>
      <c r="F73" s="19" t="s">
        <v>42</v>
      </c>
      <c r="G73" s="20" t="s">
        <v>42</v>
      </c>
      <c r="H73" s="19" t="s">
        <v>58</v>
      </c>
      <c r="I73" s="19" t="s">
        <v>58</v>
      </c>
      <c r="J73" s="19" t="s">
        <v>24</v>
      </c>
      <c r="K73" s="19" t="s">
        <v>51</v>
      </c>
      <c r="L73" s="22" t="s">
        <v>32</v>
      </c>
      <c r="M73" s="19" t="s">
        <v>560</v>
      </c>
      <c r="N73" s="19"/>
    </row>
    <row r="74" customFormat="false" ht="63.75" hidden="false" customHeight="true" outlineLevel="0" collapsed="false">
      <c r="A74" s="19" t="s">
        <v>561</v>
      </c>
      <c r="B74" s="19" t="s">
        <v>562</v>
      </c>
      <c r="C74" s="19" t="s">
        <v>563</v>
      </c>
      <c r="D74" s="19" t="s">
        <v>564</v>
      </c>
      <c r="E74" s="19" t="s">
        <v>565</v>
      </c>
      <c r="F74" s="19" t="s">
        <v>43</v>
      </c>
      <c r="G74" s="23" t="s">
        <v>43</v>
      </c>
      <c r="H74" s="19" t="s">
        <v>566</v>
      </c>
      <c r="I74" s="19" t="s">
        <v>57</v>
      </c>
      <c r="J74" s="19" t="s">
        <v>24</v>
      </c>
      <c r="K74" s="19" t="s">
        <v>52</v>
      </c>
      <c r="L74" s="22" t="s">
        <v>32</v>
      </c>
      <c r="M74" s="19" t="s">
        <v>567</v>
      </c>
      <c r="N74" s="19"/>
    </row>
    <row r="75" customFormat="false" ht="25.5" hidden="false" customHeight="true" outlineLevel="0" collapsed="false">
      <c r="A75" s="19" t="s">
        <v>568</v>
      </c>
      <c r="B75" s="19" t="s">
        <v>562</v>
      </c>
      <c r="C75" s="19" t="s">
        <v>569</v>
      </c>
      <c r="D75" s="19" t="s">
        <v>564</v>
      </c>
      <c r="E75" s="19" t="s">
        <v>570</v>
      </c>
      <c r="F75" s="19" t="s">
        <v>42</v>
      </c>
      <c r="G75" s="20" t="s">
        <v>42</v>
      </c>
      <c r="H75" s="19" t="s">
        <v>57</v>
      </c>
      <c r="I75" s="19" t="s">
        <v>57</v>
      </c>
      <c r="J75" s="19" t="s">
        <v>24</v>
      </c>
      <c r="K75" s="19" t="s">
        <v>571</v>
      </c>
      <c r="L75" s="22" t="s">
        <v>32</v>
      </c>
      <c r="M75" s="19" t="s">
        <v>572</v>
      </c>
      <c r="N75" s="19"/>
    </row>
    <row r="76" customFormat="false" ht="38.25" hidden="false" customHeight="true" outlineLevel="0" collapsed="false">
      <c r="A76" s="19" t="s">
        <v>573</v>
      </c>
      <c r="B76" s="19" t="s">
        <v>574</v>
      </c>
      <c r="C76" s="19" t="s">
        <v>575</v>
      </c>
      <c r="D76" s="19" t="s">
        <v>564</v>
      </c>
      <c r="E76" s="19" t="s">
        <v>576</v>
      </c>
      <c r="F76" s="19" t="s">
        <v>43</v>
      </c>
      <c r="G76" s="23" t="s">
        <v>43</v>
      </c>
      <c r="H76" s="19" t="s">
        <v>577</v>
      </c>
      <c r="I76" s="19" t="s">
        <v>58</v>
      </c>
      <c r="J76" s="19" t="s">
        <v>24</v>
      </c>
      <c r="K76" s="19" t="s">
        <v>52</v>
      </c>
      <c r="L76" s="22" t="s">
        <v>32</v>
      </c>
      <c r="M76" s="19" t="s">
        <v>578</v>
      </c>
      <c r="N76" s="19"/>
    </row>
    <row r="77" customFormat="false" ht="63.75" hidden="false" customHeight="true" outlineLevel="0" collapsed="false">
      <c r="A77" s="19" t="s">
        <v>579</v>
      </c>
      <c r="B77" s="19" t="s">
        <v>574</v>
      </c>
      <c r="C77" s="19" t="s">
        <v>580</v>
      </c>
      <c r="D77" s="19" t="s">
        <v>564</v>
      </c>
      <c r="E77" s="19" t="s">
        <v>581</v>
      </c>
      <c r="F77" s="19" t="s">
        <v>42</v>
      </c>
      <c r="G77" s="20" t="s">
        <v>42</v>
      </c>
      <c r="H77" s="19" t="s">
        <v>582</v>
      </c>
      <c r="I77" s="19" t="s">
        <v>582</v>
      </c>
      <c r="J77" s="19" t="s">
        <v>24</v>
      </c>
      <c r="K77" s="19" t="s">
        <v>51</v>
      </c>
      <c r="L77" s="22" t="s">
        <v>32</v>
      </c>
      <c r="M77" s="19" t="s">
        <v>583</v>
      </c>
      <c r="N77" s="19"/>
    </row>
    <row r="78" customFormat="false" ht="63.75" hidden="false" customHeight="true" outlineLevel="0" collapsed="false">
      <c r="A78" s="19" t="s">
        <v>155</v>
      </c>
      <c r="B78" s="19" t="s">
        <v>574</v>
      </c>
      <c r="C78" s="19" t="s">
        <v>584</v>
      </c>
      <c r="D78" s="19" t="s">
        <v>564</v>
      </c>
      <c r="E78" s="19" t="s">
        <v>585</v>
      </c>
      <c r="F78" s="19" t="s">
        <v>586</v>
      </c>
      <c r="G78" s="23" t="s">
        <v>43</v>
      </c>
      <c r="H78" s="19" t="s">
        <v>587</v>
      </c>
      <c r="I78" s="19" t="s">
        <v>59</v>
      </c>
      <c r="J78" s="19" t="s">
        <v>26</v>
      </c>
      <c r="K78" s="19" t="s">
        <v>52</v>
      </c>
      <c r="L78" s="22" t="s">
        <v>32</v>
      </c>
      <c r="M78" s="19" t="s">
        <v>588</v>
      </c>
      <c r="N78" s="19" t="s">
        <v>589</v>
      </c>
    </row>
    <row r="79" customFormat="false" ht="51" hidden="false" customHeight="true" outlineLevel="0" collapsed="false">
      <c r="A79" s="19" t="s">
        <v>158</v>
      </c>
      <c r="B79" s="19" t="s">
        <v>590</v>
      </c>
      <c r="C79" s="19" t="s">
        <v>591</v>
      </c>
      <c r="D79" s="19" t="s">
        <v>592</v>
      </c>
      <c r="E79" s="19" t="s">
        <v>593</v>
      </c>
      <c r="F79" s="19" t="s">
        <v>594</v>
      </c>
      <c r="G79" s="23" t="s">
        <v>43</v>
      </c>
      <c r="H79" s="19" t="s">
        <v>566</v>
      </c>
      <c r="I79" s="19" t="s">
        <v>57</v>
      </c>
      <c r="J79" s="19" t="s">
        <v>24</v>
      </c>
      <c r="K79" s="19" t="s">
        <v>52</v>
      </c>
      <c r="L79" s="22" t="s">
        <v>32</v>
      </c>
      <c r="M79" s="19" t="s">
        <v>595</v>
      </c>
      <c r="N79" s="19" t="s">
        <v>596</v>
      </c>
    </row>
    <row r="80" customFormat="false" ht="89.25" hidden="false" customHeight="true" outlineLevel="0" collapsed="false">
      <c r="A80" s="19" t="s">
        <v>183</v>
      </c>
      <c r="B80" s="19" t="s">
        <v>597</v>
      </c>
      <c r="C80" s="19" t="s">
        <v>598</v>
      </c>
      <c r="D80" s="19" t="s">
        <v>599</v>
      </c>
      <c r="E80" s="19" t="s">
        <v>600</v>
      </c>
      <c r="F80" s="19" t="s">
        <v>601</v>
      </c>
      <c r="G80" s="26" t="s">
        <v>46</v>
      </c>
      <c r="H80" s="19" t="s">
        <v>57</v>
      </c>
      <c r="I80" s="19" t="s">
        <v>57</v>
      </c>
      <c r="J80" s="19" t="s">
        <v>550</v>
      </c>
      <c r="K80" s="19" t="s">
        <v>52</v>
      </c>
      <c r="L80" s="22" t="s">
        <v>32</v>
      </c>
      <c r="M80" s="19" t="s">
        <v>602</v>
      </c>
      <c r="N80" s="19" t="s">
        <v>603</v>
      </c>
    </row>
    <row r="81" customFormat="false" ht="38.25" hidden="false" customHeight="true" outlineLevel="0" collapsed="false">
      <c r="A81" s="19" t="s">
        <v>114</v>
      </c>
      <c r="B81" s="19" t="s">
        <v>604</v>
      </c>
      <c r="C81" s="19" t="s">
        <v>605</v>
      </c>
      <c r="D81" s="19" t="s">
        <v>606</v>
      </c>
      <c r="E81" s="19" t="s">
        <v>607</v>
      </c>
      <c r="F81" s="19" t="s">
        <v>608</v>
      </c>
      <c r="G81" s="23" t="s">
        <v>43</v>
      </c>
      <c r="H81" s="19" t="s">
        <v>61</v>
      </c>
      <c r="I81" s="19" t="s">
        <v>61</v>
      </c>
      <c r="J81" s="19" t="s">
        <v>24</v>
      </c>
      <c r="K81" s="19" t="s">
        <v>52</v>
      </c>
      <c r="L81" s="22" t="s">
        <v>32</v>
      </c>
      <c r="M81" s="19" t="s">
        <v>609</v>
      </c>
      <c r="N81" s="19"/>
    </row>
    <row r="82" customFormat="false" ht="51" hidden="false" customHeight="true" outlineLevel="0" collapsed="false">
      <c r="A82" s="19" t="s">
        <v>610</v>
      </c>
      <c r="B82" s="19" t="s">
        <v>604</v>
      </c>
      <c r="C82" s="19" t="s">
        <v>611</v>
      </c>
      <c r="D82" s="19" t="s">
        <v>606</v>
      </c>
      <c r="E82" s="19" t="s">
        <v>612</v>
      </c>
      <c r="F82" s="19" t="s">
        <v>43</v>
      </c>
      <c r="G82" s="23" t="s">
        <v>43</v>
      </c>
      <c r="H82" s="19" t="s">
        <v>61</v>
      </c>
      <c r="I82" s="19" t="s">
        <v>61</v>
      </c>
      <c r="J82" s="19" t="s">
        <v>24</v>
      </c>
      <c r="K82" s="19" t="s">
        <v>40</v>
      </c>
      <c r="L82" s="22" t="s">
        <v>32</v>
      </c>
      <c r="M82" s="19" t="s">
        <v>613</v>
      </c>
      <c r="N82" s="19"/>
    </row>
    <row r="83" customFormat="false" ht="38.25" hidden="false" customHeight="true" outlineLevel="0" collapsed="false">
      <c r="A83" s="19" t="s">
        <v>120</v>
      </c>
      <c r="B83" s="19" t="s">
        <v>604</v>
      </c>
      <c r="C83" s="19" t="s">
        <v>614</v>
      </c>
      <c r="D83" s="19" t="s">
        <v>606</v>
      </c>
      <c r="E83" s="19" t="s">
        <v>615</v>
      </c>
      <c r="F83" s="19" t="s">
        <v>616</v>
      </c>
      <c r="G83" s="24" t="s">
        <v>44</v>
      </c>
      <c r="H83" s="19" t="s">
        <v>617</v>
      </c>
      <c r="I83" s="19" t="s">
        <v>59</v>
      </c>
      <c r="J83" s="19" t="s">
        <v>26</v>
      </c>
      <c r="K83" s="19" t="s">
        <v>52</v>
      </c>
      <c r="L83" s="22" t="s">
        <v>32</v>
      </c>
      <c r="M83" s="19" t="s">
        <v>618</v>
      </c>
      <c r="N83" s="19"/>
    </row>
    <row r="84" customFormat="false" ht="76.5" hidden="false" customHeight="true" outlineLevel="0" collapsed="false">
      <c r="A84" s="19" t="s">
        <v>162</v>
      </c>
      <c r="B84" s="19" t="s">
        <v>604</v>
      </c>
      <c r="C84" s="19" t="s">
        <v>619</v>
      </c>
      <c r="D84" s="19" t="s">
        <v>606</v>
      </c>
      <c r="E84" s="19" t="s">
        <v>620</v>
      </c>
      <c r="F84" s="19" t="s">
        <v>621</v>
      </c>
      <c r="G84" s="20" t="s">
        <v>42</v>
      </c>
      <c r="H84" s="19" t="s">
        <v>622</v>
      </c>
      <c r="I84" s="19" t="s">
        <v>62</v>
      </c>
      <c r="J84" s="19" t="s">
        <v>24</v>
      </c>
      <c r="K84" s="19" t="s">
        <v>52</v>
      </c>
      <c r="L84" s="22" t="s">
        <v>32</v>
      </c>
      <c r="M84" s="19" t="s">
        <v>623</v>
      </c>
      <c r="N84" s="19"/>
    </row>
    <row r="85" customFormat="false" ht="63.75" hidden="false" customHeight="true" outlineLevel="0" collapsed="false">
      <c r="A85" s="19" t="s">
        <v>624</v>
      </c>
      <c r="B85" s="19" t="s">
        <v>625</v>
      </c>
      <c r="C85" s="19" t="s">
        <v>626</v>
      </c>
      <c r="D85" s="19" t="s">
        <v>627</v>
      </c>
      <c r="E85" s="19" t="s">
        <v>628</v>
      </c>
      <c r="F85" s="19" t="s">
        <v>468</v>
      </c>
      <c r="G85" s="20" t="s">
        <v>42</v>
      </c>
      <c r="H85" s="19" t="s">
        <v>61</v>
      </c>
      <c r="I85" s="19" t="s">
        <v>61</v>
      </c>
      <c r="J85" s="19" t="s">
        <v>24</v>
      </c>
      <c r="K85" s="19" t="s">
        <v>51</v>
      </c>
      <c r="L85" s="22" t="s">
        <v>32</v>
      </c>
      <c r="M85" s="19" t="s">
        <v>629</v>
      </c>
      <c r="N85" s="19"/>
    </row>
    <row r="86" customFormat="false" ht="38.25" hidden="false" customHeight="true" outlineLevel="0" collapsed="false">
      <c r="A86" s="19" t="s">
        <v>111</v>
      </c>
      <c r="B86" s="19" t="s">
        <v>625</v>
      </c>
      <c r="C86" s="19" t="s">
        <v>630</v>
      </c>
      <c r="D86" s="19" t="s">
        <v>627</v>
      </c>
      <c r="E86" s="19" t="s">
        <v>631</v>
      </c>
      <c r="F86" s="19" t="s">
        <v>632</v>
      </c>
      <c r="G86" s="24" t="s">
        <v>44</v>
      </c>
      <c r="H86" s="19" t="s">
        <v>61</v>
      </c>
      <c r="I86" s="19" t="s">
        <v>61</v>
      </c>
      <c r="J86" s="19" t="s">
        <v>24</v>
      </c>
      <c r="K86" s="19" t="s">
        <v>52</v>
      </c>
      <c r="L86" s="22" t="s">
        <v>32</v>
      </c>
      <c r="M86" s="19" t="s">
        <v>633</v>
      </c>
      <c r="N86" s="19" t="s">
        <v>634</v>
      </c>
    </row>
    <row r="87" customFormat="false" ht="25.5" hidden="false" customHeight="true" outlineLevel="0" collapsed="false">
      <c r="A87" s="19" t="s">
        <v>635</v>
      </c>
      <c r="B87" s="19" t="s">
        <v>625</v>
      </c>
      <c r="C87" s="19" t="s">
        <v>636</v>
      </c>
      <c r="D87" s="19" t="s">
        <v>627</v>
      </c>
      <c r="E87" s="19" t="s">
        <v>637</v>
      </c>
      <c r="F87" s="19" t="s">
        <v>43</v>
      </c>
      <c r="G87" s="23" t="s">
        <v>43</v>
      </c>
      <c r="H87" s="19" t="s">
        <v>61</v>
      </c>
      <c r="I87" s="19" t="s">
        <v>61</v>
      </c>
      <c r="J87" s="19" t="s">
        <v>24</v>
      </c>
      <c r="K87" s="19" t="s">
        <v>40</v>
      </c>
      <c r="L87" s="22" t="s">
        <v>32</v>
      </c>
      <c r="M87" s="19" t="s">
        <v>638</v>
      </c>
      <c r="N87" s="19"/>
    </row>
    <row r="88" customFormat="false" ht="51" hidden="false" customHeight="true" outlineLevel="0" collapsed="false">
      <c r="A88" s="19" t="s">
        <v>639</v>
      </c>
      <c r="B88" s="19" t="s">
        <v>625</v>
      </c>
      <c r="C88" s="19" t="s">
        <v>640</v>
      </c>
      <c r="D88" s="19" t="s">
        <v>627</v>
      </c>
      <c r="E88" s="19" t="s">
        <v>641</v>
      </c>
      <c r="F88" s="19" t="s">
        <v>468</v>
      </c>
      <c r="G88" s="20" t="s">
        <v>42</v>
      </c>
      <c r="H88" s="19" t="s">
        <v>61</v>
      </c>
      <c r="I88" s="19" t="s">
        <v>61</v>
      </c>
      <c r="J88" s="19" t="s">
        <v>24</v>
      </c>
      <c r="K88" s="19" t="s">
        <v>52</v>
      </c>
      <c r="L88" s="22" t="s">
        <v>32</v>
      </c>
      <c r="M88" s="19" t="s">
        <v>642</v>
      </c>
      <c r="N88" s="19"/>
    </row>
    <row r="89" customFormat="false" ht="38.25" hidden="false" customHeight="true" outlineLevel="0" collapsed="false">
      <c r="A89" s="19" t="s">
        <v>643</v>
      </c>
      <c r="B89" s="19" t="s">
        <v>644</v>
      </c>
      <c r="C89" s="19" t="s">
        <v>645</v>
      </c>
      <c r="D89" s="19" t="s">
        <v>627</v>
      </c>
      <c r="E89" s="19" t="s">
        <v>646</v>
      </c>
      <c r="F89" s="19" t="s">
        <v>42</v>
      </c>
      <c r="G89" s="20" t="s">
        <v>42</v>
      </c>
      <c r="H89" s="19" t="s">
        <v>313</v>
      </c>
      <c r="I89" s="19" t="s">
        <v>59</v>
      </c>
      <c r="J89" s="19" t="s">
        <v>24</v>
      </c>
      <c r="K89" s="19" t="s">
        <v>51</v>
      </c>
      <c r="L89" s="22" t="s">
        <v>32</v>
      </c>
      <c r="M89" s="19" t="s">
        <v>647</v>
      </c>
      <c r="N89" s="19"/>
    </row>
    <row r="90" customFormat="false" ht="89.25" hidden="false" customHeight="true" outlineLevel="0" collapsed="false">
      <c r="A90" s="19" t="s">
        <v>169</v>
      </c>
      <c r="B90" s="19" t="s">
        <v>644</v>
      </c>
      <c r="C90" s="19" t="s">
        <v>648</v>
      </c>
      <c r="D90" s="19" t="s">
        <v>627</v>
      </c>
      <c r="E90" s="19" t="s">
        <v>649</v>
      </c>
      <c r="F90" s="19" t="s">
        <v>650</v>
      </c>
      <c r="G90" s="24" t="s">
        <v>44</v>
      </c>
      <c r="H90" s="19" t="s">
        <v>651</v>
      </c>
      <c r="I90" s="19" t="s">
        <v>60</v>
      </c>
      <c r="J90" s="19" t="s">
        <v>26</v>
      </c>
      <c r="K90" s="19" t="s">
        <v>52</v>
      </c>
      <c r="L90" s="22" t="s">
        <v>32</v>
      </c>
      <c r="M90" s="19" t="s">
        <v>652</v>
      </c>
      <c r="N90" s="19" t="s">
        <v>653</v>
      </c>
    </row>
    <row r="91" customFormat="false" ht="51" hidden="false" customHeight="true" outlineLevel="0" collapsed="false">
      <c r="A91" s="19" t="s">
        <v>180</v>
      </c>
      <c r="B91" s="19" t="s">
        <v>644</v>
      </c>
      <c r="C91" s="19" t="s">
        <v>654</v>
      </c>
      <c r="D91" s="19" t="s">
        <v>627</v>
      </c>
      <c r="E91" s="19" t="s">
        <v>655</v>
      </c>
      <c r="F91" s="19" t="s">
        <v>47</v>
      </c>
      <c r="G91" s="30" t="s">
        <v>47</v>
      </c>
      <c r="H91" s="19" t="s">
        <v>57</v>
      </c>
      <c r="I91" s="19" t="s">
        <v>57</v>
      </c>
      <c r="J91" s="19" t="s">
        <v>550</v>
      </c>
      <c r="K91" s="19" t="s">
        <v>52</v>
      </c>
      <c r="L91" s="22" t="s">
        <v>32</v>
      </c>
      <c r="M91" s="19" t="s">
        <v>656</v>
      </c>
      <c r="N91" s="19" t="s">
        <v>657</v>
      </c>
    </row>
    <row r="92" customFormat="false" ht="25.5" hidden="false" customHeight="true" outlineLevel="0" collapsed="false">
      <c r="A92" s="19" t="s">
        <v>658</v>
      </c>
      <c r="B92" s="19" t="s">
        <v>659</v>
      </c>
      <c r="C92" s="19" t="s">
        <v>660</v>
      </c>
      <c r="D92" s="19" t="s">
        <v>661</v>
      </c>
      <c r="E92" s="19" t="s">
        <v>662</v>
      </c>
      <c r="F92" s="19" t="s">
        <v>42</v>
      </c>
      <c r="G92" s="20" t="s">
        <v>42</v>
      </c>
      <c r="H92" s="19" t="s">
        <v>61</v>
      </c>
      <c r="I92" s="19" t="s">
        <v>61</v>
      </c>
      <c r="J92" s="19" t="s">
        <v>24</v>
      </c>
      <c r="K92" s="19" t="s">
        <v>663</v>
      </c>
      <c r="L92" s="22" t="s">
        <v>32</v>
      </c>
      <c r="M92" s="19" t="s">
        <v>664</v>
      </c>
      <c r="N92" s="19"/>
    </row>
    <row r="93" customFormat="false" ht="38.25" hidden="false" customHeight="true" outlineLevel="0" collapsed="false">
      <c r="A93" s="19" t="s">
        <v>665</v>
      </c>
      <c r="B93" s="19" t="s">
        <v>666</v>
      </c>
      <c r="C93" s="19" t="s">
        <v>667</v>
      </c>
      <c r="D93" s="19" t="s">
        <v>661</v>
      </c>
      <c r="E93" s="19" t="s">
        <v>668</v>
      </c>
      <c r="F93" s="19" t="s">
        <v>42</v>
      </c>
      <c r="G93" s="20" t="s">
        <v>42</v>
      </c>
      <c r="H93" s="19" t="s">
        <v>61</v>
      </c>
      <c r="I93" s="19" t="s">
        <v>61</v>
      </c>
      <c r="J93" s="19" t="s">
        <v>24</v>
      </c>
      <c r="K93" s="19" t="s">
        <v>663</v>
      </c>
      <c r="L93" s="22" t="s">
        <v>32</v>
      </c>
      <c r="M93" s="19" t="s">
        <v>669</v>
      </c>
      <c r="N93" s="19"/>
    </row>
    <row r="94" customFormat="false" ht="25.5" hidden="false" customHeight="true" outlineLevel="0" collapsed="false">
      <c r="A94" s="19" t="s">
        <v>670</v>
      </c>
      <c r="B94" s="19" t="s">
        <v>671</v>
      </c>
      <c r="C94" s="19" t="s">
        <v>672</v>
      </c>
      <c r="D94" s="19" t="s">
        <v>661</v>
      </c>
      <c r="E94" s="19" t="s">
        <v>673</v>
      </c>
      <c r="F94" s="19" t="s">
        <v>42</v>
      </c>
      <c r="G94" s="20" t="s">
        <v>42</v>
      </c>
      <c r="H94" s="19" t="s">
        <v>61</v>
      </c>
      <c r="I94" s="19" t="s">
        <v>61</v>
      </c>
      <c r="J94" s="19" t="s">
        <v>24</v>
      </c>
      <c r="K94" s="19" t="s">
        <v>40</v>
      </c>
      <c r="L94" s="22" t="s">
        <v>32</v>
      </c>
      <c r="M94" s="19" t="s">
        <v>674</v>
      </c>
      <c r="N94" s="19"/>
    </row>
    <row r="95" customFormat="false" ht="38.25" hidden="false" customHeight="true" outlineLevel="0" collapsed="false">
      <c r="A95" s="19" t="s">
        <v>90</v>
      </c>
      <c r="B95" s="19" t="s">
        <v>671</v>
      </c>
      <c r="C95" s="19" t="s">
        <v>675</v>
      </c>
      <c r="D95" s="19" t="s">
        <v>661</v>
      </c>
      <c r="E95" s="19" t="s">
        <v>676</v>
      </c>
      <c r="F95" s="19" t="s">
        <v>42</v>
      </c>
      <c r="G95" s="20" t="s">
        <v>42</v>
      </c>
      <c r="H95" s="19" t="s">
        <v>61</v>
      </c>
      <c r="I95" s="19" t="s">
        <v>61</v>
      </c>
      <c r="J95" s="19" t="s">
        <v>24</v>
      </c>
      <c r="K95" s="19" t="s">
        <v>51</v>
      </c>
      <c r="L95" s="22" t="s">
        <v>32</v>
      </c>
      <c r="M95" s="19" t="s">
        <v>677</v>
      </c>
      <c r="N95" s="19"/>
    </row>
    <row r="96" customFormat="false" ht="38.25" hidden="false" customHeight="true" outlineLevel="0" collapsed="false">
      <c r="A96" s="19" t="s">
        <v>678</v>
      </c>
      <c r="B96" s="19" t="s">
        <v>679</v>
      </c>
      <c r="C96" s="19" t="s">
        <v>680</v>
      </c>
      <c r="D96" s="19" t="s">
        <v>661</v>
      </c>
      <c r="E96" s="19" t="s">
        <v>681</v>
      </c>
      <c r="F96" s="19" t="s">
        <v>682</v>
      </c>
      <c r="G96" s="20" t="s">
        <v>42</v>
      </c>
      <c r="H96" s="19" t="s">
        <v>62</v>
      </c>
      <c r="I96" s="19" t="s">
        <v>62</v>
      </c>
      <c r="J96" s="19" t="s">
        <v>26</v>
      </c>
      <c r="K96" s="19" t="s">
        <v>51</v>
      </c>
      <c r="L96" s="22" t="s">
        <v>32</v>
      </c>
      <c r="M96" s="19" t="s">
        <v>683</v>
      </c>
      <c r="N96" s="19"/>
    </row>
    <row r="97" customFormat="false" ht="25.5" hidden="false" customHeight="true" outlineLevel="0" collapsed="false">
      <c r="A97" s="19" t="s">
        <v>684</v>
      </c>
      <c r="B97" s="19" t="s">
        <v>671</v>
      </c>
      <c r="C97" s="19" t="s">
        <v>685</v>
      </c>
      <c r="D97" s="19" t="s">
        <v>661</v>
      </c>
      <c r="E97" s="19" t="s">
        <v>686</v>
      </c>
      <c r="F97" s="19" t="s">
        <v>43</v>
      </c>
      <c r="G97" s="23" t="s">
        <v>43</v>
      </c>
      <c r="H97" s="19" t="s">
        <v>61</v>
      </c>
      <c r="I97" s="19" t="s">
        <v>61</v>
      </c>
      <c r="J97" s="19" t="s">
        <v>24</v>
      </c>
      <c r="K97" s="19" t="s">
        <v>52</v>
      </c>
      <c r="L97" s="22" t="s">
        <v>32</v>
      </c>
      <c r="M97" s="19" t="s">
        <v>687</v>
      </c>
      <c r="N97" s="19"/>
    </row>
    <row r="98" customFormat="false" ht="25.5" hidden="false" customHeight="true" outlineLevel="0" collapsed="false">
      <c r="A98" s="19" t="s">
        <v>688</v>
      </c>
      <c r="B98" s="19" t="s">
        <v>671</v>
      </c>
      <c r="C98" s="19" t="s">
        <v>689</v>
      </c>
      <c r="D98" s="19" t="s">
        <v>661</v>
      </c>
      <c r="E98" s="19" t="s">
        <v>690</v>
      </c>
      <c r="F98" s="19" t="s">
        <v>42</v>
      </c>
      <c r="G98" s="20" t="s">
        <v>42</v>
      </c>
      <c r="H98" s="19" t="s">
        <v>62</v>
      </c>
      <c r="I98" s="19" t="s">
        <v>62</v>
      </c>
      <c r="J98" s="19" t="s">
        <v>24</v>
      </c>
      <c r="K98" s="19" t="s">
        <v>52</v>
      </c>
      <c r="L98" s="22" t="s">
        <v>32</v>
      </c>
      <c r="M98" s="19" t="s">
        <v>691</v>
      </c>
      <c r="N98" s="19"/>
    </row>
  </sheetData>
  <autoFilter ref="A1:N98"/>
  <dataValidations count="1">
    <dataValidation allowBlank="true" errorStyle="stop" operator="between" showDropDown="false" showErrorMessage="false" showInputMessage="false" sqref="L2:L98" type="list">
      <formula1>"Live in POC,Partly in POC,Available (standard,not demoed),Not in POC,Out of POC scope"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A24" activeCellId="0" sqref="A24"/>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6"/>
  </cols>
  <sheetData>
    <row r="1" customFormat="false" ht="15.75" hidden="false" customHeight="true" outlineLevel="0" collapsed="false">
      <c r="A1" s="32" t="s">
        <v>692</v>
      </c>
    </row>
    <row r="3" customFormat="false" ht="15" hidden="false" customHeight="true" outlineLevel="0" collapsed="false">
      <c r="A3" s="18" t="s">
        <v>206</v>
      </c>
      <c r="B3" s="18" t="s">
        <v>693</v>
      </c>
    </row>
    <row r="4" customFormat="false" ht="23.25" hidden="false" customHeight="true" outlineLevel="0" collapsed="false">
      <c r="A4" s="33" t="s">
        <v>694</v>
      </c>
      <c r="B4" s="19" t="s">
        <v>695</v>
      </c>
    </row>
    <row r="5" customFormat="false" ht="25.5" hidden="false" customHeight="true" outlineLevel="0" collapsed="false">
      <c r="A5" s="33" t="s">
        <v>696</v>
      </c>
      <c r="B5" s="19" t="s">
        <v>697</v>
      </c>
    </row>
    <row r="6" customFormat="false" ht="23.25" hidden="false" customHeight="true" outlineLevel="0" collapsed="false">
      <c r="A6" s="33" t="s">
        <v>698</v>
      </c>
      <c r="B6" s="19" t="s">
        <v>699</v>
      </c>
    </row>
    <row r="7" customFormat="false" ht="38.25" hidden="false" customHeight="true" outlineLevel="0" collapsed="false">
      <c r="A7" s="33" t="s">
        <v>700</v>
      </c>
      <c r="B7" s="19" t="s">
        <v>701</v>
      </c>
    </row>
    <row r="8" customFormat="false" ht="25.5" hidden="false" customHeight="true" outlineLevel="0" collapsed="false">
      <c r="A8" s="33" t="s">
        <v>702</v>
      </c>
      <c r="B8" s="19" t="s">
        <v>703</v>
      </c>
    </row>
    <row r="9" customFormat="false" ht="25.5" hidden="false" customHeight="true" outlineLevel="0" collapsed="false">
      <c r="A9" s="33" t="s">
        <v>704</v>
      </c>
      <c r="B9" s="19" t="s">
        <v>705</v>
      </c>
    </row>
    <row r="10" customFormat="false" ht="25.5" hidden="false" customHeight="true" outlineLevel="0" collapsed="false">
      <c r="A10" s="33" t="s">
        <v>706</v>
      </c>
      <c r="B10" s="19" t="s">
        <v>707</v>
      </c>
    </row>
    <row r="11" customFormat="false" ht="25.5" hidden="false" customHeight="true" outlineLevel="0" collapsed="false">
      <c r="A11" s="33" t="s">
        <v>708</v>
      </c>
      <c r="B11" s="19" t="s">
        <v>709</v>
      </c>
    </row>
    <row r="12" customFormat="false" ht="25.5" hidden="false" customHeight="true" outlineLevel="0" collapsed="false">
      <c r="A12" s="33" t="s">
        <v>710</v>
      </c>
      <c r="B12" s="19" t="s">
        <v>711</v>
      </c>
    </row>
    <row r="13" customFormat="false" ht="15" hidden="false" customHeight="true" outlineLevel="0" collapsed="false">
      <c r="A13" s="33" t="s">
        <v>712</v>
      </c>
      <c r="B13" s="19" t="s">
        <v>713</v>
      </c>
    </row>
    <row r="14" customFormat="false" ht="25.5" hidden="false" customHeight="true" outlineLevel="0" collapsed="false">
      <c r="A14" s="33" t="s">
        <v>714</v>
      </c>
      <c r="B14" s="19" t="s">
        <v>715</v>
      </c>
    </row>
    <row r="15" customFormat="false" ht="25.5" hidden="false" customHeight="true" outlineLevel="0" collapsed="false">
      <c r="A15" s="33" t="s">
        <v>716</v>
      </c>
      <c r="B15" s="19" t="s">
        <v>717</v>
      </c>
    </row>
    <row r="16" customFormat="false" ht="15" hidden="false" customHeight="true" outlineLevel="0" collapsed="false">
      <c r="A16" s="33" t="s">
        <v>198</v>
      </c>
      <c r="B16" s="19" t="s">
        <v>718</v>
      </c>
    </row>
    <row r="17" customFormat="false" ht="25.5" hidden="false" customHeight="true" outlineLevel="0" collapsed="false">
      <c r="A17" s="33" t="s">
        <v>719</v>
      </c>
      <c r="B17" s="19" t="s">
        <v>720</v>
      </c>
    </row>
    <row r="18" customFormat="false" ht="25.5" hidden="false" customHeight="true" outlineLevel="0" collapsed="false">
      <c r="A18" s="33" t="s">
        <v>721</v>
      </c>
      <c r="B18" s="19" t="s">
        <v>722</v>
      </c>
    </row>
    <row r="19" customFormat="false" ht="25.5" hidden="false" customHeight="true" outlineLevel="0" collapsed="false">
      <c r="A19" s="33" t="s">
        <v>723</v>
      </c>
      <c r="B19" s="19" t="s">
        <v>724</v>
      </c>
    </row>
    <row r="20" customFormat="false" ht="38.25" hidden="false" customHeight="true" outlineLevel="0" collapsed="false">
      <c r="A20" s="33" t="s">
        <v>725</v>
      </c>
      <c r="B20" s="19" t="s">
        <v>726</v>
      </c>
    </row>
    <row r="21" customFormat="false" ht="23.25" hidden="false" customHeight="true" outlineLevel="0" collapsed="false">
      <c r="A21" s="3" t="s">
        <v>727</v>
      </c>
      <c r="B21" s="34" t="s">
        <v>728</v>
      </c>
    </row>
    <row r="22" customFormat="false" ht="34.5" hidden="false" customHeight="true" outlineLevel="0" collapsed="false">
      <c r="A22" s="3" t="s">
        <v>729</v>
      </c>
      <c r="B22" s="34" t="s">
        <v>730</v>
      </c>
    </row>
    <row r="23" customFormat="false" ht="23.25" hidden="false" customHeight="true" outlineLevel="0" collapsed="false">
      <c r="A23" s="3" t="s">
        <v>731</v>
      </c>
      <c r="B23" s="34" t="s">
        <v>732</v>
      </c>
    </row>
    <row r="24" customFormat="false" ht="15" hidden="false" customHeight="true" outlineLevel="0" collapsed="false">
      <c r="A24" s="6"/>
      <c r="B24" s="4"/>
    </row>
    <row r="25" customFormat="false" ht="15" hidden="false" customHeight="true" outlineLevel="0" collapsed="false">
      <c r="A25" s="32" t="s">
        <v>733</v>
      </c>
      <c r="B25" s="4"/>
    </row>
    <row r="26" customFormat="false" ht="34.5" hidden="false" customHeight="true" outlineLevel="0" collapsed="false">
      <c r="A26" s="6" t="s">
        <v>734</v>
      </c>
      <c r="B26" s="34" t="s">
        <v>735</v>
      </c>
    </row>
    <row r="27" customFormat="false" ht="15" hidden="false" customHeight="true" outlineLevel="0" collapsed="false">
      <c r="A27" s="6" t="s">
        <v>734</v>
      </c>
      <c r="B27" s="34" t="s">
        <v>736</v>
      </c>
    </row>
    <row r="28" customFormat="false" ht="15" hidden="false" customHeight="true" outlineLevel="0" collapsed="false">
      <c r="A28" s="6" t="s">
        <v>734</v>
      </c>
      <c r="B28" s="34" t="s">
        <v>737</v>
      </c>
    </row>
    <row r="29" customFormat="false" ht="15" hidden="false" customHeight="true" outlineLevel="0" collapsed="false">
      <c r="A29" s="1" t="s">
        <v>734</v>
      </c>
      <c r="B29" s="34" t="s">
        <v>738</v>
      </c>
    </row>
    <row r="30" customFormat="false" ht="15" hidden="false" customHeight="true" outlineLevel="0" collapsed="false">
      <c r="A30" s="1" t="s">
        <v>734</v>
      </c>
      <c r="B30" s="34" t="s">
        <v>739</v>
      </c>
    </row>
    <row r="31" customFormat="false" ht="23.25" hidden="false" customHeight="true" outlineLevel="0" collapsed="false">
      <c r="A31" s="1" t="s">
        <v>734</v>
      </c>
      <c r="B31" s="34" t="s">
        <v>740</v>
      </c>
    </row>
    <row r="32" customFormat="false" ht="15" hidden="false" customHeight="true" outlineLevel="0" collapsed="false">
      <c r="A32" s="1" t="s">
        <v>734</v>
      </c>
      <c r="B32" s="34" t="s">
        <v>741</v>
      </c>
    </row>
    <row r="33" customFormat="false" ht="23.25" hidden="false" customHeight="true" outlineLevel="0" collapsed="false">
      <c r="A33" s="1" t="s">
        <v>734</v>
      </c>
      <c r="B33" s="34" t="s">
        <v>742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2"/>
    <col collapsed="false" customWidth="true" hidden="false" outlineLevel="0" max="3" min="3" style="1" width="70"/>
    <col collapsed="false" customWidth="true" hidden="false" outlineLevel="0" max="4" min="4" style="1" width="18"/>
    <col collapsed="false" customWidth="true" hidden="false" outlineLevel="0" max="5" min="5" style="1" width="10"/>
    <col collapsed="false" customWidth="true" hidden="false" outlineLevel="0" max="6" min="6" style="1" width="40"/>
    <col collapsed="false" customWidth="true" hidden="false" outlineLevel="0" max="7" min="7" style="1" width="14"/>
  </cols>
  <sheetData>
    <row r="1" customFormat="false" ht="15" hidden="false" customHeight="true" outlineLevel="0" collapsed="false">
      <c r="A1" s="18" t="s">
        <v>65</v>
      </c>
      <c r="B1" s="18" t="s">
        <v>743</v>
      </c>
      <c r="C1" s="18" t="s">
        <v>744</v>
      </c>
      <c r="D1" s="18" t="s">
        <v>745</v>
      </c>
      <c r="E1" s="18" t="s">
        <v>746</v>
      </c>
      <c r="F1" s="18" t="s">
        <v>747</v>
      </c>
      <c r="G1" s="18" t="s">
        <v>748</v>
      </c>
    </row>
    <row r="2" customFormat="false" ht="25.5" hidden="false" customHeight="true" outlineLevel="0" collapsed="false">
      <c r="A2" s="19" t="s">
        <v>749</v>
      </c>
      <c r="B2" s="19" t="s">
        <v>548</v>
      </c>
      <c r="C2" s="19" t="s">
        <v>750</v>
      </c>
      <c r="D2" s="19" t="s">
        <v>176</v>
      </c>
      <c r="E2" s="19" t="s">
        <v>57</v>
      </c>
      <c r="F2" s="35"/>
      <c r="G2" s="19"/>
    </row>
    <row r="3" customFormat="false" ht="25.5" hidden="false" customHeight="true" outlineLevel="0" collapsed="false">
      <c r="A3" s="19" t="s">
        <v>751</v>
      </c>
      <c r="B3" s="19" t="s">
        <v>752</v>
      </c>
      <c r="C3" s="19" t="s">
        <v>753</v>
      </c>
      <c r="D3" s="19" t="s">
        <v>754</v>
      </c>
      <c r="E3" s="19" t="s">
        <v>57</v>
      </c>
      <c r="F3" s="35"/>
      <c r="G3" s="19"/>
    </row>
    <row r="4" customFormat="false" ht="15" hidden="false" customHeight="true" outlineLevel="0" collapsed="false">
      <c r="A4" s="19" t="s">
        <v>755</v>
      </c>
      <c r="B4" s="19" t="s">
        <v>756</v>
      </c>
      <c r="C4" s="19" t="s">
        <v>757</v>
      </c>
      <c r="D4" s="19" t="s">
        <v>758</v>
      </c>
      <c r="E4" s="19" t="s">
        <v>57</v>
      </c>
      <c r="F4" s="35"/>
      <c r="G4" s="19"/>
    </row>
    <row r="5" customFormat="false" ht="25.5" hidden="false" customHeight="true" outlineLevel="0" collapsed="false">
      <c r="A5" s="19" t="s">
        <v>759</v>
      </c>
      <c r="B5" s="19" t="s">
        <v>760</v>
      </c>
      <c r="C5" s="19" t="s">
        <v>761</v>
      </c>
      <c r="D5" s="19" t="s">
        <v>762</v>
      </c>
      <c r="E5" s="19" t="s">
        <v>57</v>
      </c>
      <c r="F5" s="35"/>
      <c r="G5" s="19"/>
    </row>
    <row r="6" customFormat="false" ht="15" hidden="false" customHeight="true" outlineLevel="0" collapsed="false">
      <c r="A6" s="19" t="s">
        <v>763</v>
      </c>
      <c r="B6" s="19" t="s">
        <v>764</v>
      </c>
      <c r="C6" s="19" t="s">
        <v>765</v>
      </c>
      <c r="D6" s="19" t="s">
        <v>766</v>
      </c>
      <c r="E6" s="19" t="s">
        <v>57</v>
      </c>
      <c r="F6" s="35"/>
      <c r="G6" s="19"/>
    </row>
    <row r="7" customFormat="false" ht="25.5" hidden="false" customHeight="true" outlineLevel="0" collapsed="false">
      <c r="A7" s="19" t="s">
        <v>767</v>
      </c>
      <c r="B7" s="19" t="s">
        <v>768</v>
      </c>
      <c r="C7" s="19" t="s">
        <v>769</v>
      </c>
      <c r="D7" s="19" t="s">
        <v>173</v>
      </c>
      <c r="E7" s="19" t="s">
        <v>57</v>
      </c>
      <c r="F7" s="35"/>
      <c r="G7" s="19"/>
    </row>
    <row r="8" customFormat="false" ht="25.5" hidden="false" customHeight="true" outlineLevel="0" collapsed="false">
      <c r="A8" s="19" t="s">
        <v>770</v>
      </c>
      <c r="B8" s="19" t="s">
        <v>771</v>
      </c>
      <c r="C8" s="19" t="s">
        <v>772</v>
      </c>
      <c r="D8" s="19" t="s">
        <v>155</v>
      </c>
      <c r="E8" s="19" t="s">
        <v>57</v>
      </c>
      <c r="F8" s="35"/>
      <c r="G8" s="19"/>
    </row>
    <row r="9" customFormat="false" ht="25.5" hidden="false" customHeight="true" outlineLevel="0" collapsed="false">
      <c r="A9" s="19" t="s">
        <v>773</v>
      </c>
      <c r="B9" s="19" t="s">
        <v>774</v>
      </c>
      <c r="C9" s="19" t="s">
        <v>775</v>
      </c>
      <c r="D9" s="19" t="s">
        <v>111</v>
      </c>
      <c r="E9" s="19" t="s">
        <v>57</v>
      </c>
      <c r="F9" s="35"/>
      <c r="G9" s="19"/>
    </row>
    <row r="10" customFormat="false" ht="15" hidden="false" customHeight="true" outlineLevel="0" collapsed="false">
      <c r="A10" s="19" t="s">
        <v>776</v>
      </c>
      <c r="B10" s="19" t="s">
        <v>654</v>
      </c>
      <c r="C10" s="19" t="s">
        <v>777</v>
      </c>
      <c r="D10" s="19" t="s">
        <v>180</v>
      </c>
      <c r="E10" s="19" t="s">
        <v>57</v>
      </c>
      <c r="F10" s="35"/>
      <c r="G10" s="19"/>
    </row>
    <row r="11" customFormat="false" ht="25.5" hidden="false" customHeight="true" outlineLevel="0" collapsed="false">
      <c r="A11" s="19" t="s">
        <v>778</v>
      </c>
      <c r="B11" s="19" t="s">
        <v>779</v>
      </c>
      <c r="C11" s="19" t="s">
        <v>780</v>
      </c>
      <c r="D11" s="19" t="s">
        <v>781</v>
      </c>
      <c r="E11" s="19" t="s">
        <v>57</v>
      </c>
      <c r="F11" s="35"/>
      <c r="G11" s="19"/>
    </row>
    <row r="12" customFormat="false" ht="25.5" hidden="false" customHeight="true" outlineLevel="0" collapsed="false">
      <c r="A12" s="19" t="s">
        <v>782</v>
      </c>
      <c r="B12" s="19" t="s">
        <v>783</v>
      </c>
      <c r="C12" s="19" t="s">
        <v>784</v>
      </c>
      <c r="D12" s="19" t="s">
        <v>169</v>
      </c>
      <c r="E12" s="19" t="s">
        <v>57</v>
      </c>
      <c r="F12" s="35"/>
      <c r="G12" s="19"/>
    </row>
    <row r="13" customFormat="false" ht="15" hidden="false" customHeight="true" outlineLevel="0" collapsed="false">
      <c r="A13" s="19" t="s">
        <v>785</v>
      </c>
      <c r="B13" s="19" t="s">
        <v>786</v>
      </c>
      <c r="C13" s="19" t="s">
        <v>787</v>
      </c>
      <c r="D13" s="19" t="s">
        <v>788</v>
      </c>
      <c r="E13" s="19" t="s">
        <v>57</v>
      </c>
      <c r="F13" s="35"/>
      <c r="G13" s="19"/>
    </row>
    <row r="14" customFormat="false" ht="25.5" hidden="false" customHeight="true" outlineLevel="0" collapsed="false">
      <c r="A14" s="19" t="s">
        <v>789</v>
      </c>
      <c r="B14" s="19" t="s">
        <v>790</v>
      </c>
      <c r="C14" s="19" t="s">
        <v>791</v>
      </c>
      <c r="D14" s="19" t="s">
        <v>158</v>
      </c>
      <c r="E14" s="19" t="s">
        <v>57</v>
      </c>
      <c r="F14" s="35"/>
      <c r="G14" s="19"/>
    </row>
    <row r="15" customFormat="false" ht="25.5" hidden="false" customHeight="true" outlineLevel="0" collapsed="false">
      <c r="A15" s="19" t="s">
        <v>792</v>
      </c>
      <c r="B15" s="19" t="s">
        <v>793</v>
      </c>
      <c r="C15" s="19" t="s">
        <v>794</v>
      </c>
      <c r="D15" s="19" t="s">
        <v>105</v>
      </c>
      <c r="E15" s="19" t="s">
        <v>58</v>
      </c>
      <c r="F15" s="35"/>
      <c r="G15" s="19"/>
    </row>
    <row r="16" customFormat="false" ht="15" hidden="false" customHeight="true" outlineLevel="0" collapsed="false">
      <c r="A16" s="19" t="s">
        <v>795</v>
      </c>
      <c r="B16" s="19" t="s">
        <v>796</v>
      </c>
      <c r="C16" s="19" t="s">
        <v>797</v>
      </c>
      <c r="D16" s="19" t="s">
        <v>165</v>
      </c>
      <c r="E16" s="19" t="s">
        <v>58</v>
      </c>
      <c r="F16" s="35"/>
      <c r="G16" s="19"/>
    </row>
    <row r="17" customFormat="false" ht="15" hidden="false" customHeight="true" outlineLevel="0" collapsed="false">
      <c r="A17" s="19" t="s">
        <v>798</v>
      </c>
      <c r="B17" s="19" t="s">
        <v>799</v>
      </c>
      <c r="C17" s="19" t="s">
        <v>800</v>
      </c>
      <c r="D17" s="19" t="s">
        <v>530</v>
      </c>
      <c r="E17" s="19" t="s">
        <v>58</v>
      </c>
      <c r="F17" s="35"/>
      <c r="G17" s="19"/>
    </row>
    <row r="18" customFormat="false" ht="25.5" hidden="false" customHeight="true" outlineLevel="0" collapsed="false">
      <c r="A18" s="19" t="s">
        <v>801</v>
      </c>
      <c r="B18" s="19" t="s">
        <v>802</v>
      </c>
      <c r="C18" s="19" t="s">
        <v>803</v>
      </c>
      <c r="D18" s="19" t="s">
        <v>401</v>
      </c>
      <c r="E18" s="19" t="s">
        <v>57</v>
      </c>
      <c r="F18" s="35"/>
      <c r="G18" s="19"/>
    </row>
    <row r="19" customFormat="false" ht="25.5" hidden="false" customHeight="true" outlineLevel="0" collapsed="false">
      <c r="A19" s="19" t="s">
        <v>804</v>
      </c>
      <c r="B19" s="19" t="s">
        <v>805</v>
      </c>
      <c r="C19" s="19" t="s">
        <v>806</v>
      </c>
      <c r="D19" s="19" t="s">
        <v>807</v>
      </c>
      <c r="E19" s="19" t="s">
        <v>57</v>
      </c>
      <c r="F19" s="35"/>
      <c r="G19" s="19"/>
    </row>
    <row r="20" customFormat="false" ht="15" hidden="false" customHeight="true" outlineLevel="0" collapsed="false">
      <c r="A20" s="19" t="s">
        <v>808</v>
      </c>
      <c r="B20" s="19" t="s">
        <v>809</v>
      </c>
      <c r="C20" s="19" t="s">
        <v>810</v>
      </c>
      <c r="D20" s="19" t="s">
        <v>114</v>
      </c>
      <c r="E20" s="19" t="s">
        <v>61</v>
      </c>
      <c r="F20" s="35"/>
      <c r="G20" s="19"/>
    </row>
    <row r="21" customFormat="false" ht="34.5" hidden="false" customHeight="true" outlineLevel="0" collapsed="false">
      <c r="A21" s="36" t="s">
        <v>811</v>
      </c>
      <c r="B21" s="34" t="s">
        <v>812</v>
      </c>
      <c r="C21" s="34" t="s">
        <v>813</v>
      </c>
      <c r="D21" s="34" t="s">
        <v>814</v>
      </c>
      <c r="E21" s="34" t="s">
        <v>57</v>
      </c>
    </row>
    <row r="22" customFormat="false" ht="45.75" hidden="false" customHeight="true" outlineLevel="0" collapsed="false">
      <c r="A22" s="36" t="s">
        <v>815</v>
      </c>
      <c r="B22" s="34" t="s">
        <v>816</v>
      </c>
      <c r="C22" s="34" t="s">
        <v>817</v>
      </c>
      <c r="D22" s="34" t="s">
        <v>818</v>
      </c>
      <c r="E22" s="34" t="s">
        <v>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102"/>
    <col collapsed="false" customWidth="true" hidden="false" outlineLevel="0" max="3" min="3" style="1" width="40"/>
    <col collapsed="false" customWidth="true" hidden="false" outlineLevel="0" max="4" min="4" style="1" width="45"/>
  </cols>
  <sheetData>
    <row r="1" customFormat="false" ht="15" hidden="false" customHeight="true" outlineLevel="0" collapsed="false">
      <c r="A1" s="18" t="s">
        <v>65</v>
      </c>
      <c r="B1" s="18" t="s">
        <v>819</v>
      </c>
      <c r="C1" s="18" t="s">
        <v>820</v>
      </c>
      <c r="D1" s="18" t="s">
        <v>821</v>
      </c>
    </row>
    <row r="2" customFormat="false" ht="38.25" hidden="false" customHeight="true" outlineLevel="0" collapsed="false">
      <c r="A2" s="19" t="n">
        <v>1</v>
      </c>
      <c r="B2" s="19" t="s">
        <v>822</v>
      </c>
      <c r="C2" s="19" t="s">
        <v>386</v>
      </c>
      <c r="D2" s="19" t="s">
        <v>823</v>
      </c>
    </row>
    <row r="3" customFormat="false" ht="38.25" hidden="false" customHeight="true" outlineLevel="0" collapsed="false">
      <c r="A3" s="19" t="n">
        <v>2</v>
      </c>
      <c r="B3" s="19" t="s">
        <v>824</v>
      </c>
      <c r="C3" s="19" t="s">
        <v>825</v>
      </c>
      <c r="D3" s="19" t="s">
        <v>826</v>
      </c>
    </row>
    <row r="4" customFormat="false" ht="38.25" hidden="false" customHeight="true" outlineLevel="0" collapsed="false">
      <c r="A4" s="19" t="n">
        <v>3</v>
      </c>
      <c r="B4" s="19" t="s">
        <v>827</v>
      </c>
      <c r="C4" s="19" t="s">
        <v>818</v>
      </c>
      <c r="D4" s="19" t="s">
        <v>828</v>
      </c>
    </row>
    <row r="5" customFormat="false" ht="38.25" hidden="false" customHeight="true" outlineLevel="0" collapsed="false">
      <c r="A5" s="19" t="n">
        <v>4</v>
      </c>
      <c r="B5" s="19" t="s">
        <v>829</v>
      </c>
      <c r="C5" s="19" t="s">
        <v>830</v>
      </c>
      <c r="D5" s="19" t="s">
        <v>831</v>
      </c>
    </row>
    <row r="6" customFormat="false" ht="38.25" hidden="false" customHeight="true" outlineLevel="0" collapsed="false">
      <c r="A6" s="19" t="n">
        <v>5</v>
      </c>
      <c r="B6" s="19" t="s">
        <v>832</v>
      </c>
      <c r="C6" s="19" t="s">
        <v>833</v>
      </c>
      <c r="D6" s="19" t="s">
        <v>834</v>
      </c>
    </row>
    <row r="7" customFormat="false" ht="38.25" hidden="false" customHeight="true" outlineLevel="0" collapsed="false">
      <c r="A7" s="19" t="n">
        <v>6</v>
      </c>
      <c r="B7" s="19" t="s">
        <v>835</v>
      </c>
      <c r="C7" s="19" t="s">
        <v>836</v>
      </c>
      <c r="D7" s="19" t="s">
        <v>837</v>
      </c>
    </row>
    <row r="8" customFormat="false" ht="51" hidden="false" customHeight="true" outlineLevel="0" collapsed="false">
      <c r="A8" s="19" t="n">
        <v>7</v>
      </c>
      <c r="B8" s="19" t="s">
        <v>838</v>
      </c>
      <c r="C8" s="19" t="s">
        <v>158</v>
      </c>
      <c r="D8" s="19" t="s">
        <v>839</v>
      </c>
    </row>
    <row r="9" customFormat="false" ht="38.25" hidden="false" customHeight="true" outlineLevel="0" collapsed="false">
      <c r="A9" s="19" t="n">
        <v>8</v>
      </c>
      <c r="B9" s="19" t="s">
        <v>840</v>
      </c>
      <c r="C9" s="19" t="s">
        <v>120</v>
      </c>
      <c r="D9" s="19" t="s">
        <v>841</v>
      </c>
    </row>
    <row r="10" customFormat="false" ht="51" hidden="false" customHeight="true" outlineLevel="0" collapsed="false">
      <c r="A10" s="19" t="n">
        <v>9</v>
      </c>
      <c r="B10" s="19" t="s">
        <v>842</v>
      </c>
      <c r="C10" s="19" t="s">
        <v>843</v>
      </c>
      <c r="D10" s="19" t="s">
        <v>844</v>
      </c>
    </row>
    <row r="11" customFormat="false" ht="38.25" hidden="false" customHeight="true" outlineLevel="0" collapsed="false">
      <c r="A11" s="19" t="n">
        <v>10</v>
      </c>
      <c r="B11" s="19" t="s">
        <v>845</v>
      </c>
      <c r="C11" s="19" t="s">
        <v>173</v>
      </c>
      <c r="D11" s="19" t="s">
        <v>846</v>
      </c>
    </row>
    <row r="12" customFormat="false" ht="51" hidden="false" customHeight="true" outlineLevel="0" collapsed="false">
      <c r="A12" s="19" t="n">
        <v>11</v>
      </c>
      <c r="B12" s="19" t="s">
        <v>847</v>
      </c>
      <c r="C12" s="19" t="s">
        <v>155</v>
      </c>
      <c r="D12" s="19" t="s">
        <v>848</v>
      </c>
    </row>
    <row r="13" customFormat="false" ht="38.25" hidden="false" customHeight="true" outlineLevel="0" collapsed="false">
      <c r="A13" s="19" t="n">
        <v>12</v>
      </c>
      <c r="B13" s="19" t="s">
        <v>849</v>
      </c>
      <c r="C13" s="19" t="s">
        <v>169</v>
      </c>
      <c r="D13" s="19" t="s">
        <v>850</v>
      </c>
    </row>
    <row r="14" customFormat="false" ht="38.25" hidden="false" customHeight="true" outlineLevel="0" collapsed="false">
      <c r="A14" s="19" t="n">
        <v>13</v>
      </c>
      <c r="B14" s="19" t="s">
        <v>851</v>
      </c>
      <c r="C14" s="19" t="s">
        <v>852</v>
      </c>
      <c r="D14" s="19" t="s">
        <v>853</v>
      </c>
    </row>
    <row r="15" customFormat="false" ht="51" hidden="false" customHeight="true" outlineLevel="0" collapsed="false">
      <c r="A15" s="19" t="n">
        <v>14</v>
      </c>
      <c r="B15" s="19" t="s">
        <v>854</v>
      </c>
      <c r="C15" s="19" t="s">
        <v>781</v>
      </c>
      <c r="D15" s="19" t="s">
        <v>855</v>
      </c>
    </row>
    <row r="16" customFormat="false" ht="25.5" hidden="false" customHeight="true" outlineLevel="0" collapsed="false">
      <c r="A16" s="19" t="n">
        <v>15</v>
      </c>
      <c r="B16" s="19" t="s">
        <v>856</v>
      </c>
      <c r="C16" s="19" t="s">
        <v>401</v>
      </c>
      <c r="D16" s="19" t="s">
        <v>857</v>
      </c>
    </row>
    <row r="17" customFormat="false" ht="63.75" hidden="false" customHeight="true" outlineLevel="0" collapsed="false">
      <c r="A17" s="19" t="n">
        <v>16</v>
      </c>
      <c r="B17" s="19" t="s">
        <v>858</v>
      </c>
      <c r="C17" s="19" t="s">
        <v>582</v>
      </c>
      <c r="D17" s="19" t="s">
        <v>859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2026-09-18T22:01:22Z</dcterms:created>
  <dc:creator>openpyxl</dc:creator>
  <dc:description/>
  <dc:language>en-US</dc:language>
  <cp:lastModifiedBy>user</cp:lastModifiedBy>
  <dcterms:modified xsi:type="dcterms:W3CDTF">2026-09-20T09:46:56Z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