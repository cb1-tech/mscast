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From MSCAST requirements" sheetId="3" state="visible" r:id="rId5"/>
    <sheet name="Added to make it work" sheetId="4" state="visible" r:id="rId6"/>
    <sheet name="Open Questions" sheetId="5" state="visible" r:id="rId7"/>
  </sheets>
  <definedNames>
    <definedName function="false" hidden="true" localSheetId="3" name="_xlnm._FilterDatabase" vbProcedure="false">'Added to make it work'!$A$1:$H$24</definedName>
    <definedName function="false" hidden="true" localSheetId="2" name="_xlnm._FilterDatabase" vbProcedure="false">'From MSCAST requirements'!$A$1:$O$98</definedName>
    <definedName function="false" hidden="true" localSheetId="4" name="_xlnm._FilterDatabase" vbProcedure="false">'Open Questions'!$A$1:$H$22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<sst xmlns="http://schemas.openxmlformats.org/spreadsheetml/2006/main" count="1739" uniqueCount="768">
  <si>
    <t xml:space="preserve">MSCAST ERP – Requirements Traceability Workbook</t>
  </si>
  <si>
    <t xml:space="preserve">Version 2.0 · 21 September 2026 · matches doc 03 (Requirements Traceability) v3.0</t>
  </si>
  <si>
    <t xml:space="preserve">What this workbook answers</t>
  </si>
  <si>
    <t xml:space="preserve">1. Did the system cover everything MSCAST asked for?  →  sheet "From MSCAST requirements": the 97 requirements in MSCAST's document ERP_Requirement_Final.pdf, how each is met, and where to see it working.</t>
  </si>
  <si>
    <t xml:space="preserve">2. What was added beyond the requirement document to make it a working, safe system for MSCAST?  →  sheet "Added to make it work": each addition, in plain words, with the requirement it protects.</t>
  </si>
  <si>
    <t xml:space="preserve">3. What does MSCAST (or the CA) still have to answer?  →  sheet "Open Questions". Yellow cells are for the answer.</t>
  </si>
  <si>
    <t xml:space="preserve">Totals for all three are on the "Summary" sheet and recalculate from the other sheets.</t>
  </si>
  <si>
    <t xml:space="preserve">The two systems</t>
  </si>
  <si>
    <t xml:space="preserve">Live POC: https://mscast.carobar.net – MSCAST staff are trying it with their own logins.</t>
  </si>
  <si>
    <t xml:space="preserve">DEV: https://mscastdev.carobar.net – full demonstration data; the "Evidence" column refers to documents you can open there.</t>
  </si>
  <si>
    <t xml:space="preserve">Column legend (From MSCAST requirements)</t>
  </si>
  <si>
    <t xml:space="preserve">Type: Standard = ERPNext out of the box · Config = settings, roles, print formats, alerts · Custom = new forms, reports or rules built for MSCAST · Integration = connects an outside device · External = done outside the ERP (CA, policy).</t>
  </si>
  <si>
    <t xml:space="preserve">Status: "Working" = live in the POC and shown on DEV · "Working – assumption to confirm" = built on an assumption MSCAST or the CA must confirm (see the Assumption column).</t>
  </si>
  <si>
    <t xml:space="preserve">Phase and Size are from the original plan (P1–P5; S/M/L effort band) and are kept for reference.</t>
  </si>
  <si>
    <t xml:space="preserve">"In ERPens proposal" is the implementer's reading of the ERPens scope document, not confirmed by ERPens.</t>
  </si>
  <si>
    <t xml:space="preserve">Summary</t>
  </si>
  <si>
    <t xml:space="preserve">Where the system comes from</t>
  </si>
  <si>
    <t xml:space="preserve">Basis</t>
  </si>
  <si>
    <t xml:space="preserve">Items</t>
  </si>
  <si>
    <t xml:space="preserve">Share</t>
  </si>
  <si>
    <t xml:space="preserve">From MSCAST requirements</t>
  </si>
  <si>
    <t xml:space="preserve">Added to make it work</t>
  </si>
  <si>
    <t xml:space="preserve">Total</t>
  </si>
  <si>
    <t xml:space="preserve">MSCAST requirements by status</t>
  </si>
  <si>
    <t xml:space="preserve">Status</t>
  </si>
  <si>
    <t xml:space="preserve">Count</t>
  </si>
  <si>
    <t xml:space="preserve">Working</t>
  </si>
  <si>
    <t xml:space="preserve">Working – assumption to confirm</t>
  </si>
  <si>
    <t xml:space="preserve">Not working</t>
  </si>
  <si>
    <t xml:space="preserve">Changed by MSCAST</t>
  </si>
  <si>
    <t xml:space="preserve">MSCAST requirements by type</t>
  </si>
  <si>
    <t xml:space="preserve">Type</t>
  </si>
  <si>
    <t xml:space="preserve">Standard</t>
  </si>
  <si>
    <t xml:space="preserve">Config</t>
  </si>
  <si>
    <t xml:space="preserve">Custom</t>
  </si>
  <si>
    <t xml:space="preserve">Integration</t>
  </si>
  <si>
    <t xml:space="preserve">External</t>
  </si>
  <si>
    <t xml:space="preserve">Open question</t>
  </si>
  <si>
    <t xml:space="preserve">MSCAST requirements by area</t>
  </si>
  <si>
    <t xml:space="preserve">Area</t>
  </si>
  <si>
    <t xml:space="preserve">Sales</t>
  </si>
  <si>
    <t xml:space="preserve">Projects</t>
  </si>
  <si>
    <t xml:space="preserve">Project coordination</t>
  </si>
  <si>
    <t xml:space="preserve">Engineering</t>
  </si>
  <si>
    <t xml:space="preserve">Procurement</t>
  </si>
  <si>
    <t xml:space="preserve">Erection &amp; Commissioning</t>
  </si>
  <si>
    <t xml:space="preserve">Operations flow</t>
  </si>
  <si>
    <t xml:space="preserve">Accounts</t>
  </si>
  <si>
    <t xml:space="preserve">Management modules</t>
  </si>
  <si>
    <t xml:space="preserve">Accounts POV (compliance)</t>
  </si>
  <si>
    <t xml:space="preserve">Accounts POV (controls)</t>
  </si>
  <si>
    <t xml:space="preserve">Accounts POV (Companies Act s.128)</t>
  </si>
  <si>
    <t xml:space="preserve">Accounts POV (standards)</t>
  </si>
  <si>
    <t xml:space="preserve">Accounts POV (equity &amp; liabilities)</t>
  </si>
  <si>
    <t xml:space="preserve">Accounts POV (assets)</t>
  </si>
  <si>
    <t xml:space="preserve">Accounts POV (inventory)</t>
  </si>
  <si>
    <t xml:space="preserve">Accounts POV (sales)</t>
  </si>
  <si>
    <t xml:space="preserve">Accounts POV (purchase)</t>
  </si>
  <si>
    <t xml:space="preserve">Accounts POV (expenses)</t>
  </si>
  <si>
    <t xml:space="preserve">Accounts POV (payroll)</t>
  </si>
  <si>
    <t xml:space="preserve">Additions by kind</t>
  </si>
  <si>
    <t xml:space="preserve">Kind</t>
  </si>
  <si>
    <t xml:space="preserve">Safeguard</t>
  </si>
  <si>
    <t xml:space="preserve">Reliability</t>
  </si>
  <si>
    <t xml:space="preserve">Automation</t>
  </si>
  <si>
    <t xml:space="preserve">Presentation</t>
  </si>
  <si>
    <t xml:space="preserve">Documentation</t>
  </si>
  <si>
    <t xml:space="preserve">Open questions</t>
  </si>
  <si>
    <t xml:space="preserve">Open</t>
  </si>
  <si>
    <t xml:space="preserve">Answered</t>
  </si>
  <si>
    <t xml:space="preserve">Not needed</t>
  </si>
  <si>
    <t xml:space="preserve">ID</t>
  </si>
  <si>
    <t xml:space="preserve">Requirement (MSCAST document)</t>
  </si>
  <si>
    <t xml:space="preserve">Source page</t>
  </si>
  <si>
    <t xml:space="preserve">How the system meets it</t>
  </si>
  <si>
    <t xml:space="preserve">Type (detail)</t>
  </si>
  <si>
    <t xml:space="preserve">Phase</t>
  </si>
  <si>
    <t xml:space="preserve">Size</t>
  </si>
  <si>
    <t xml:space="preserve">Evidence on DEV (open these)</t>
  </si>
  <si>
    <t xml:space="preserve">Assumption to confirm (who)</t>
  </si>
  <si>
    <t xml:space="preserve">In ERPens proposal</t>
  </si>
  <si>
    <t xml:space="preserve">S-01</t>
  </si>
  <si>
    <t xml:space="preserve">Prepare Sales Orders from customer orders</t>
  </si>
  <si>
    <t xml:space="preserve">p2</t>
  </si>
  <si>
    <t xml:space="preserve">ERPNext Sales Order (customer PO no./date, payment terms template)</t>
  </si>
  <si>
    <t xml:space="preserve">P1</t>
  </si>
  <si>
    <t xml:space="preserve">S</t>
  </si>
  <si>
    <t xml:space="preserve">3 sales orders submitted with customer PO no., retention/LD/PBG fields</t>
  </si>
  <si>
    <t xml:space="preserve">Yes</t>
  </si>
  <si>
    <t xml:space="preserve">MSCAST requirement</t>
  </si>
  <si>
    <t xml:space="preserve">S-02</t>
  </si>
  <si>
    <t xml:space="preserve">PCC sheet (Purchase Cost Calculation): cost price of each component of CCM/spares, prepared by Sales from the Sales Order</t>
  </si>
  <si>
    <t xml:space="preserve">p2, p6</t>
  </si>
  <si>
    <t xml:space="preserve">Custom 'PCC' doctype linked to Sales Order/Project: component lines, revisions + approval; baseline for PO control and project MIS</t>
  </si>
  <si>
    <t xml:space="preserve">Custom (no-code + script report)</t>
  </si>
  <si>
    <t xml:space="preserve">L</t>
  </si>
  <si>
    <t xml:space="preserve">PCC-2026-00001 (R2, approved, 15 lines, Rs 1.82 Cr) and PCC-2026-00002 (approved). A director approves. A director may also prepare one (T6e, Q20)</t>
  </si>
  <si>
    <t xml:space="preserve">Q2, Q20</t>
  </si>
  <si>
    <t xml:space="preserve">No</t>
  </si>
  <si>
    <t xml:space="preserve">S-03</t>
  </si>
  <si>
    <t xml:space="preserve">Order-status analysis; leads from customer enquiry or direct approach</t>
  </si>
  <si>
    <t xml:space="preserve">CRM Lead → Opportunity → Quotation; Sales Pipeline Analytics</t>
  </si>
  <si>
    <t xml:space="preserve">Lead (Gulf Aluminium), 2 Opportunities, Quotation SAL-QTN-2026-00001; order-book chart. Plus 14 bid outcomes (6 won / 6 lost with reasons)</t>
  </si>
  <si>
    <t xml:space="preserve">S-04</t>
  </si>
  <si>
    <t xml:space="preserve">Scope of work/contract and PCC handed to Engineering and Projects</t>
  </si>
  <si>
    <t xml:space="preserve">Kick-off workflow on Project; mandatory attachments and notifications</t>
  </si>
  <si>
    <t xml:space="preserve">MSCAST Project Kickoff form with the 8-point customer-PO checklist, linked PCC / SO / project. Kick-off approval is a director's</t>
  </si>
  <si>
    <t xml:space="preserve">Partly</t>
  </si>
  <si>
    <t xml:space="preserve">S-05</t>
  </si>
  <si>
    <t xml:space="preserve">List of potential/probable customers for forecasting</t>
  </si>
  <si>
    <t xml:space="preserve">Leads/Opportunities with expected value and closing date</t>
  </si>
  <si>
    <t xml:space="preserve">Open lead + spares opportunity; 'Order Book by Customer' chart</t>
  </si>
  <si>
    <t xml:space="preserve">PR-01</t>
  </si>
  <si>
    <t xml:space="preserve">Internal kick-off meeting; Projects receives PCC, signed tech specs, sales MOMs</t>
  </si>
  <si>
    <t xml:space="preserve">Project Template + kick-off checklist child table; Workflow 'Kick-off done'</t>
  </si>
  <si>
    <t xml:space="preserve">Project kick-off task completed on PROJ-0001, PCC + SO linked</t>
  </si>
  <si>
    <t xml:space="preserve">PR-02</t>
  </si>
  <si>
    <t xml:space="preserve">Project planning: targets for Engineering, Procurement, Despatch, Erection &amp; Commissioning</t>
  </si>
  <si>
    <t xml:space="preserve">Project tasks, milestones, dependencies, Gantt</t>
  </si>
  <si>
    <t xml:space="preserve">Tasks across 3 projects with dates, status and progress</t>
  </si>
  <si>
    <t xml:space="preserve">PR-03</t>
  </si>
  <si>
    <t xml:space="preserve">Prepare and submit Project Execution, Delivery and Billing schedules to client/consultant</t>
  </si>
  <si>
    <t xml:space="preserve">Delivery + billing schedule child tables on Project/SO; print formats</t>
  </si>
  <si>
    <t xml:space="preserve">Config + light custom</t>
  </si>
  <si>
    <t xml:space="preserve">P1/P3</t>
  </si>
  <si>
    <t xml:space="preserve">M</t>
  </si>
  <si>
    <t xml:space="preserve">'MSCAST Project Schedule (Client)' print - contractual milestones with live drawing, inspection, dispatch and commissioning status</t>
  </si>
  <si>
    <t xml:space="preserve">PR-04</t>
  </si>
  <si>
    <t xml:space="preserve">Periodic 'Overall Project Status/Schedule' submission to client</t>
  </si>
  <si>
    <t xml:space="preserve">Project status print format/report</t>
  </si>
  <si>
    <t xml:space="preserve">Custom (report + print)</t>
  </si>
  <si>
    <t xml:space="preserve">'MSCAST Project Status Report' - progress bar, commercial and engineering position, open punch points</t>
  </si>
  <si>
    <t xml:space="preserve">PR-05</t>
  </si>
  <si>
    <t xml:space="preserve">Submit invoices and follow up receivables from client</t>
  </si>
  <si>
    <t xml:space="preserve">Accounts Receivable, Payment Reminder/Dunning, Notification before due date</t>
  </si>
  <si>
    <t xml:space="preserve">P4</t>
  </si>
  <si>
    <t xml:space="preserve">Payment request + AR ageing + overdue notification</t>
  </si>
  <si>
    <t xml:space="preserve">PR-06</t>
  </si>
  <si>
    <t xml:space="preserve">Project completion: completeness of supplies</t>
  </si>
  <si>
    <t xml:space="preserve">p3</t>
  </si>
  <si>
    <t xml:space="preserve">Sales Order Analysis (ordered vs delivered), SO–DN tracking</t>
  </si>
  <si>
    <t xml:space="preserve">P3</t>
  </si>
  <si>
    <t xml:space="preserve">MSCAST Dispatch Schedule shows ordered vs delivered vs pending</t>
  </si>
  <si>
    <t xml:space="preserve">PR-07</t>
  </si>
  <si>
    <t xml:space="preserve">Additional claims discussion and settlement with client</t>
  </si>
  <si>
    <t xml:space="preserve">Custom 'Client Claim' doctype → amended SO / additional invoice</t>
  </si>
  <si>
    <t xml:space="preserve">Custom (no-code)</t>
  </si>
  <si>
    <t xml:space="preserve">Client Claim register + print; CLM-2026-00001 (Rs 6.85 L scope variation, agreed Rs 6.40 L) and CLM-2026-00002 (idle time, settled by supplementary invoice)</t>
  </si>
  <si>
    <t xml:space="preserve">Q14</t>
  </si>
  <si>
    <t xml:space="preserve">PR-08</t>
  </si>
  <si>
    <t xml:space="preserve">Obtain Commissioning, Preliminary and Final certificates from client</t>
  </si>
  <si>
    <t xml:space="preserve">p3, p6</t>
  </si>
  <si>
    <t xml:space="preserve">Custom 'Project Certificate' doctype; triggers milestone billing and retention clock</t>
  </si>
  <si>
    <t xml:space="preserve">Certificates across projects with retention due date + print format</t>
  </si>
  <si>
    <t xml:space="preserve">Yes (completion certificate)</t>
  </si>
  <si>
    <t xml:space="preserve">PR-09</t>
  </si>
  <si>
    <t xml:space="preserve">After final closure, hand over project info to Spares Dept for spares business</t>
  </si>
  <si>
    <t xml:space="preserve">Project closure checklist; installed-machine record + customer spares price list</t>
  </si>
  <si>
    <t xml:space="preserve">P5</t>
  </si>
  <si>
    <t xml:space="preserve">MSCAST Spares Handover + print. Plus the MSCAST Installed Machine register: 14 machines, 2009–2024, the basis of the spares and retrofit business</t>
  </si>
  <si>
    <t xml:space="preserve">Q15</t>
  </si>
  <si>
    <t xml:space="preserve">PC-01</t>
  </si>
  <si>
    <t xml:space="preserve">Check customer PO against agreed terms; forward to Finance and Procurement</t>
  </si>
  <si>
    <t xml:space="preserve">SO approval workflow with PO-vs-quotation check; notifications</t>
  </si>
  <si>
    <t xml:space="preserve">'MSCAST Project Kick-off' workflow: Draft → PO Verified (Accounts, only when price, scope, payment terms and GST are ticked) → Kick-off Approved (director); PROJ-0002 sits in 'PO Query Raised' because the customer's payment terms differ from the offer</t>
  </si>
  <si>
    <t xml:space="preserve">Q20</t>
  </si>
  <si>
    <t xml:space="preserve">PC-02</t>
  </si>
  <si>
    <t xml:space="preserve">Give billing and dispatch schedule to Procurement based on PCC</t>
  </si>
  <si>
    <t xml:space="preserve">Schedule child tables visible in Procurement workspace; report</t>
  </si>
  <si>
    <t xml:space="preserve">P2</t>
  </si>
  <si>
    <t xml:space="preserve">'Billing / Dispatch Schedule' child table on the Project + report, carrying the action note per milestone</t>
  </si>
  <si>
    <t xml:space="preserve">PC-03</t>
  </si>
  <si>
    <t xml:space="preserve">Check supplier POs against PCC requirement and commercial terms</t>
  </si>
  <si>
    <t xml:space="preserve">Validation + 'PO vs PCC' variance report; approval required if over PCC</t>
  </si>
  <si>
    <t xml:space="preserve">Custom (script report + server script)</t>
  </si>
  <si>
    <t xml:space="preserve">MSCAST PO vs PCC Variance report + PO PCC fields + 'PO over PCC' notification</t>
  </si>
  <si>
    <t xml:space="preserve">Q2</t>
  </si>
  <si>
    <t xml:space="preserve">PC-04</t>
  </si>
  <si>
    <t xml:space="preserve">Issue Delivery Instruction to supplier for dispatch to customer site</t>
  </si>
  <si>
    <t xml:space="preserve">p3, p4, p6</t>
  </si>
  <si>
    <t xml:space="preserve">Custom 'Delivery Instruction' doctype from PO/MDM</t>
  </si>
  <si>
    <t xml:space="preserve">DI-2026-00001 with consignee, transporter, LR, vehicle + print format</t>
  </si>
  <si>
    <t xml:space="preserve">Q5</t>
  </si>
  <si>
    <t xml:space="preserve">PC-05</t>
  </si>
  <si>
    <t xml:space="preserve">Free-issue list dispatched with Delivery Instruction to sub-contractor</t>
  </si>
  <si>
    <t xml:space="preserve">Subcontracting supplied items / Stock Entry; Annexure-I print</t>
  </si>
  <si>
    <t xml:space="preserve">Standard + print format</t>
  </si>
  <si>
    <t xml:space="preserve">P2/P3</t>
  </si>
  <si>
    <t xml:space="preserve">Free-issue stock transfer to 'Free Issue at Vendor' + Annexure-I on the DI print</t>
  </si>
  <si>
    <t xml:space="preserve">PC-06</t>
  </si>
  <si>
    <t xml:space="preserve">Receive purchase bills, check against PO and Delivery Instruction; original to Accounts, duplicate to Purchase for BRM</t>
  </si>
  <si>
    <t xml:space="preserve">BRM register records supplier bill against PO; Purchase Invoice with certification workflow</t>
  </si>
  <si>
    <t xml:space="preserve">Custom → Standard + workflow</t>
  </si>
  <si>
    <t xml:space="preserve">P2/P4</t>
  </si>
  <si>
    <t xml:space="preserve">3 BRMs against POs. Workflow: Purchase prepares → a director certifies → Accounts marks paid. A director can also do all three steps alone (T6g, Q21)</t>
  </si>
  <si>
    <t xml:space="preserve">Q21</t>
  </si>
  <si>
    <t xml:space="preserve">PC-07</t>
  </si>
  <si>
    <t xml:space="preserve">Prepare Sales Invoice, Delivery Challan and Packing List</t>
  </si>
  <si>
    <t xml:space="preserve">p3, p7</t>
  </si>
  <si>
    <t xml:space="preserve">Delivery Note, Packing Slip, Sales Invoice; e-way bill</t>
  </si>
  <si>
    <t xml:space="preserve">P3/P4</t>
  </si>
  <si>
    <t xml:space="preserve">6 sales invoices, 3 delivery notes; packing slip not demoed</t>
  </si>
  <si>
    <t xml:space="preserve">PC-08</t>
  </si>
  <si>
    <t xml:space="preserve">Update stock items and free-issue statement</t>
  </si>
  <si>
    <t xml:space="preserve">Stock Ledger; vendor-wise free-issue balance report</t>
  </si>
  <si>
    <t xml:space="preserve">Standard + report</t>
  </si>
  <si>
    <t xml:space="preserve">MSCAST Free Issue at Vendor report (plate + sections at vendor)</t>
  </si>
  <si>
    <t xml:space="preserve">PC-09</t>
  </si>
  <si>
    <t xml:space="preserve">Update billing &amp; despatch schedule with consignor, transporter, LR no./date, invoice no./date</t>
  </si>
  <si>
    <t xml:space="preserve">Delivery Note transporter/LR/vehicle fields + schedule-vs-actual report</t>
  </si>
  <si>
    <t xml:space="preserve">DN carries transporter, LR no./date, vehicle; dispatch schedule report</t>
  </si>
  <si>
    <t xml:space="preserve">PC-10</t>
  </si>
  <si>
    <t xml:space="preserve">Project code allocation</t>
  </si>
  <si>
    <t xml:space="preserve">Project naming series</t>
  </si>
  <si>
    <t xml:space="preserve">P0</t>
  </si>
  <si>
    <t xml:space="preserve">PROJ-0001 / 0002 / 0003</t>
  </si>
  <si>
    <t xml:space="preserve">PC-11</t>
  </si>
  <si>
    <t xml:space="preserve">Update ongoing/new and executed/closed project and Sales Order lists</t>
  </si>
  <si>
    <t xml:space="preserve">Project and Sales Order list views/reports with status filters</t>
  </si>
  <si>
    <t xml:space="preserve">List views with status filters</t>
  </si>
  <si>
    <t xml:space="preserve">PC-12</t>
  </si>
  <si>
    <t xml:space="preserve">Maintain supplier and customer information</t>
  </si>
  <si>
    <t xml:space="preserve">Customer/Supplier masters (GSTIN, PAN, MSME/Udyam, contacts, addresses)</t>
  </si>
  <si>
    <t xml:space="preserve">Standard + custom fields</t>
  </si>
  <si>
    <t xml:space="preserve">P0/P1</t>
  </si>
  <si>
    <t xml:space="preserve">13 customers, 15 suppliers with GSTIN, state, MSME type and addresses. GSTIN check digits and pincode-to-state validated on entry</t>
  </si>
  <si>
    <t xml:space="preserve">PC-13</t>
  </si>
  <si>
    <t xml:space="preserve">New Project MIS as per given template</t>
  </si>
  <si>
    <t xml:space="preserve">Custom project MIS report per MSCAST template</t>
  </si>
  <si>
    <t xml:space="preserve">Custom (script report)</t>
  </si>
  <si>
    <t xml:space="preserve">P1/P4</t>
  </si>
  <si>
    <t xml:space="preserve">MSCAST Project MIS report (contract vs PCC vs PO vs billed vs hours)</t>
  </si>
  <si>
    <t xml:space="preserve">Q3</t>
  </si>
  <si>
    <t xml:space="preserve">PC-14</t>
  </si>
  <si>
    <t xml:space="preserve">Project completion accounting closure reports</t>
  </si>
  <si>
    <t xml:space="preserve">Project Profitability + custom closure report</t>
  </si>
  <si>
    <t xml:space="preserve">'MSCAST Project Closure Report' with a closure verdict per project</t>
  </si>
  <si>
    <t xml:space="preserve">PC-15</t>
  </si>
  <si>
    <t xml:space="preserve">Pending Sales Order review</t>
  </si>
  <si>
    <t xml:space="preserve">Sales Order Analysis / pending items to deliver and bill</t>
  </si>
  <si>
    <t xml:space="preserve">Pending quantities in the dispatch schedule report</t>
  </si>
  <si>
    <t xml:space="preserve">PC-16</t>
  </si>
  <si>
    <t xml:space="preserve">Material movement tracking</t>
  </si>
  <si>
    <t xml:space="preserve">Stock Ledger, Project-wise Stock Tracking, DI/Delivery Note status</t>
  </si>
  <si>
    <t xml:space="preserve">Stock ledger, project-wise stock, stock entries, DI/DN status</t>
  </si>
  <si>
    <t xml:space="preserve">PC-17</t>
  </si>
  <si>
    <t xml:space="preserve">Proforma Invoice for advance/scheduled supply per SO payment terms</t>
  </si>
  <si>
    <t xml:space="preserve">'Proforma Invoice' print format on Sales Order + Payment Request</t>
  </si>
  <si>
    <t xml:space="preserve">Config (print format)</t>
  </si>
  <si>
    <t xml:space="preserve">'MSCAST Proforma Invoice' + advance payment request</t>
  </si>
  <si>
    <t xml:space="preserve">PC-18</t>
  </si>
  <si>
    <t xml:space="preserve">Supplementary Invoice for retention amount</t>
  </si>
  <si>
    <t xml:space="preserve">Payment Terms Template + retention tracker; Retention Receivable account</t>
  </si>
  <si>
    <t xml:space="preserve">Retention reclassified to Retention Receivable on two projects; supplementary invoice against the agreed claim</t>
  </si>
  <si>
    <t xml:space="preserve">Yes (retention tracking)</t>
  </si>
  <si>
    <t xml:space="preserve">PC-19</t>
  </si>
  <si>
    <t xml:space="preserve">Track Sales Order vs Purchase Order vs Supply Invoice</t>
  </si>
  <si>
    <t xml:space="preserve">Custom tracker report SO ↔ PCC ↔ PO ↔ PI ↔ SI</t>
  </si>
  <si>
    <t xml:space="preserve">'MSCAST SO - PO - Invoice Tracker' per order</t>
  </si>
  <si>
    <t xml:space="preserve">E-01</t>
  </si>
  <si>
    <t xml:space="preserve">Receive PCC / division scope list</t>
  </si>
  <si>
    <t xml:space="preserve">p4</t>
  </si>
  <si>
    <t xml:space="preserve">Link on Project; notification</t>
  </si>
  <si>
    <t xml:space="preserve">PCC linked from the project; engineering tasks assigned</t>
  </si>
  <si>
    <t xml:space="preserve">E-02</t>
  </si>
  <si>
    <t xml:space="preserve">Prepare engineering programme and design/drawings</t>
  </si>
  <si>
    <t xml:space="preserve">p4, p6</t>
  </si>
  <si>
    <t xml:space="preserve">Engineering tasks + Drawing Register (revisions, approvals, transmittals, Drive links)</t>
  </si>
  <si>
    <t xml:space="preserve">Custom (no-code + workflow)</t>
  </si>
  <si>
    <t xml:space="preserve">9 drawings with revision tables and Drive links; MSCAST Drawing Register report. 'MSCAST Drawing Release' workflow: Draft → For Customer Approval → Approved by Customer → Released for Manufacture → Superseded. Only a Projects Manager releases, and only from *Approved by Customer*</t>
  </si>
  <si>
    <t xml:space="preserve">E-03</t>
  </si>
  <si>
    <t xml:space="preserve">Prepare MDF once drawings are final</t>
  </si>
  <si>
    <t xml:space="preserve">Engineering BOM or custom 'MDF' doctype with print; generates Material Requests</t>
  </si>
  <si>
    <t xml:space="preserve">Config + custom print</t>
  </si>
  <si>
    <t xml:space="preserve">3 MDFs (WSU, Mould, Hydraulics) + MDF print format</t>
  </si>
  <si>
    <t xml:space="preserve">E-04</t>
  </si>
  <si>
    <t xml:space="preserve">Finalise extra bought-out item list</t>
  </si>
  <si>
    <t xml:space="preserve">Bought-out item groups; Material Request from BOM/MDF</t>
  </si>
  <si>
    <t xml:space="preserve">P1/P2</t>
  </si>
  <si>
    <t xml:space="preserve">Bought-out item groups; Material Request raised from the MDF lists</t>
  </si>
  <si>
    <t xml:space="preserve">Q18</t>
  </si>
  <si>
    <t xml:space="preserve">E-05</t>
  </si>
  <si>
    <t xml:space="preserve">Send MDF and bought-out list to Procurement; follow up</t>
  </si>
  <si>
    <t xml:space="preserve">MDF submit → Material Request + notification; Procurement Tracker report</t>
  </si>
  <si>
    <t xml:space="preserve">MSCAST Transmittal register + note print; drawing set issued to the customer (acknowledged) and to the fabricator</t>
  </si>
  <si>
    <t xml:space="preserve">E-06</t>
  </si>
  <si>
    <t xml:space="preserve">Capture engineering man-hours equipment-wise and project-wise</t>
  </si>
  <si>
    <t xml:space="preserve">p8</t>
  </si>
  <si>
    <t xml:space="preserve">Timesheet with custom 'Equipment' field + man-hour report</t>
  </si>
  <si>
    <t xml:space="preserve">Config + custom field/report</t>
  </si>
  <si>
    <t xml:space="preserve">Timesheets with Equipment field; 'Engineering Hours by Activity' chart. The overnight sweep flags any open project with no time ever booked</t>
  </si>
  <si>
    <t xml:space="preserve">Q17</t>
  </si>
  <si>
    <t xml:space="preserve">Yes (manhours)</t>
  </si>
  <si>
    <t xml:space="preserve">P-01</t>
  </si>
  <si>
    <t xml:space="preserve">Receive PCC, drawings, MDF and bought-out list</t>
  </si>
  <si>
    <t xml:space="preserve">Links from Material Request to PCC/Drawing/MDF</t>
  </si>
  <si>
    <t xml:space="preserve">PCC, drawings and MDF linked into the procurement flow</t>
  </si>
  <si>
    <t xml:space="preserve">P-02</t>
  </si>
  <si>
    <t xml:space="preserve">Send enquiries to vendors</t>
  </si>
  <si>
    <t xml:space="preserve">Request for Quotation</t>
  </si>
  <si>
    <t xml:space="preserve">PUR-RFQ-2026-00001 to 3 suppliers for 3 items</t>
  </si>
  <si>
    <t xml:space="preserve">P-03</t>
  </si>
  <si>
    <t xml:space="preserve">Techno-commercial comparison of offers and supplier selection</t>
  </si>
  <si>
    <t xml:space="preserve">Supplier Quotation Comparison + custom technical scoring fields</t>
  </si>
  <si>
    <t xml:space="preserve">Custom (light)</t>
  </si>
  <si>
    <t xml:space="preserve">2 supplier quotations with technical score, compliance, deviations, recommended flag</t>
  </si>
  <si>
    <t xml:space="preserve">P-04</t>
  </si>
  <si>
    <t xml:space="preserve">Release PO with technical specifications, price, terms and conditions</t>
  </si>
  <si>
    <t xml:space="preserve">Purchase Order + T&amp;C templates + spec attachments</t>
  </si>
  <si>
    <t xml:space="preserve">Purchase orders with terms, PCC reference and budget. A Purchase User sends for approval; a director approves. Nobody holds both roles, so every PO passes through two people</t>
  </si>
  <si>
    <t xml:space="preserve">P-05</t>
  </si>
  <si>
    <t xml:space="preserve">Release drawings and MDF to equipment manufacturers</t>
  </si>
  <si>
    <t xml:space="preserve">Drawing transmittal from Drawing Register</t>
  </si>
  <si>
    <t xml:space="preserve">Custom (part of E-02)</t>
  </si>
  <si>
    <t xml:space="preserve">TRN-2026-00002 to Pushkar Fabricators with revision and sheet counts</t>
  </si>
  <si>
    <t xml:space="preserve">P-06</t>
  </si>
  <si>
    <t xml:space="preserve">Arrange bought-outs and supply them to the manufacturer</t>
  </si>
  <si>
    <t xml:space="preserve">Subcontracting supplied items / Stock Entry to vendor</t>
  </si>
  <si>
    <t xml:space="preserve">Free issue of plate and sections to the fabricator</t>
  </si>
  <si>
    <t xml:space="preserve">P-07</t>
  </si>
  <si>
    <t xml:space="preserve">Supplier follow-up; coordinate inspection of equipment and bought-outs</t>
  </si>
  <si>
    <t xml:space="preserve">Quality Inspection Templates + custom Inspection Plan per PO/project</t>
  </si>
  <si>
    <t xml:space="preserve">Standard + custom</t>
  </si>
  <si>
    <t xml:space="preserve">4 inspection plans + templates on 4 items + 2 incoming inspections</t>
  </si>
  <si>
    <t xml:space="preserve">P-08</t>
  </si>
  <si>
    <t xml:space="preserve">Release supplier payments against invoice/proforma/internal memo invoice with certification via Billing Routing Memo (BRM) to Accounts</t>
  </si>
  <si>
    <t xml:space="preserve">p4, p5, p6</t>
  </si>
  <si>
    <t xml:space="preserve">Custom 'BRM' doctype + workflow; Payment Entry and Journal Entry allowed only against a certified BRM</t>
  </si>
  <si>
    <t xml:space="preserve">Custom (no-code + application code)</t>
  </si>
  <si>
    <t xml:space="preserve">3 BRMs + print format + BRM Register report. Purchase prepares and may reject; a director certifies (certifying releases the money); Accounts marks paid. A BRM cannot be certified unless its four checks (qty, rate, inspection, delivery) are ticked (T6n). Limitation (T6g, Q21): a director also holds the roles that create a BRM and mark it paid, so a certificate does not prove three people were involved. The payment block holds for everyone</t>
  </si>
  <si>
    <t xml:space="preserve">Q4, Q21</t>
  </si>
  <si>
    <t xml:space="preserve">P-09</t>
  </si>
  <si>
    <t xml:space="preserve">Track POs against PCC and update status (PCC updation)</t>
  </si>
  <si>
    <t xml:space="preserve">PO vs PCC report + PCC status column</t>
  </si>
  <si>
    <t xml:space="preserve">Custom (report)</t>
  </si>
  <si>
    <t xml:space="preserve">MSCAST PO vs PCC Variance report with committed % and variance</t>
  </si>
  <si>
    <t xml:space="preserve">P-10</t>
  </si>
  <si>
    <t xml:space="preserve">Collect vendor stock declaration of free-issue items project-wise</t>
  </si>
  <si>
    <t xml:space="preserve">Vendor-wise, project-wise supplied-item balance report</t>
  </si>
  <si>
    <t xml:space="preserve">Free Issue at Vendor report by item and value</t>
  </si>
  <si>
    <t xml:space="preserve">P-11</t>
  </si>
  <si>
    <t xml:space="preserve">Prepare Material Dispatch Memo (MDM) → Delivery Instruction to supplier</t>
  </si>
  <si>
    <t xml:space="preserve">Custom 'MDM' doctype → creates Delivery Instruction</t>
  </si>
  <si>
    <t xml:space="preserve">MDM-2026-00001 with free-issue flag + print format</t>
  </si>
  <si>
    <t xml:space="preserve">P-12</t>
  </si>
  <si>
    <t xml:space="preserve">Free-issue items list as Annexure-I with MDM</t>
  </si>
  <si>
    <t xml:space="preserve">Annexure-I print format from MDM/Subcontracting data</t>
  </si>
  <si>
    <t xml:space="preserve">Annexure-I printed with the Delivery Instruction</t>
  </si>
  <si>
    <t xml:space="preserve">P-13</t>
  </si>
  <si>
    <t xml:space="preserve">Performance Bank Guarantee (PBG) certification</t>
  </si>
  <si>
    <t xml:space="preserve">p6</t>
  </si>
  <si>
    <t xml:space="preserve">Bank Guarantee doctype + expiry notifications + BG register</t>
  </si>
  <si>
    <t xml:space="preserve">Standard + config</t>
  </si>
  <si>
    <t xml:space="preserve">2 bank guarantees (ABG + PBG) with validity + 30-day expiry notification. The overnight sweep also raises an exception as expiry approaches</t>
  </si>
  <si>
    <t xml:space="preserve">EC-01</t>
  </si>
  <si>
    <t xml:space="preserve">Erection and commissioning of CCM at site</t>
  </si>
  <si>
    <t xml:space="preserve">p6, p7</t>
  </si>
  <si>
    <t xml:space="preserve">Site tasks, site timesheets, Expense Claims, commissioning report</t>
  </si>
  <si>
    <t xml:space="preserve">MSCAST Commissioning Report: 5 performance parameters, 6 trial heats, punch list, provisional acceptance + signature print</t>
  </si>
  <si>
    <t xml:space="preserve">EC-02</t>
  </si>
  <si>
    <t xml:space="preserve">Inspection → Packing → Loading → Transport → Commissioning</t>
  </si>
  <si>
    <t xml:space="preserve">p7</t>
  </si>
  <si>
    <t xml:space="preserve">Quality Inspection gate before Delivery Note; Packing Slip; e-way bill</t>
  </si>
  <si>
    <t xml:space="preserve">Quality inspection → delivery note with transport details; packing slip not demoed</t>
  </si>
  <si>
    <t xml:space="preserve">A-01</t>
  </si>
  <si>
    <t xml:space="preserve">Check PO and contract before giving credit to vendor</t>
  </si>
  <si>
    <t xml:space="preserve">p5</t>
  </si>
  <si>
    <t xml:space="preserve">Supplier payment terms; Purchase Invoice linked to PO; hold/approval</t>
  </si>
  <si>
    <t xml:space="preserve">Supplier credit limit set + PO/contract check</t>
  </si>
  <si>
    <t xml:space="preserve">A-02</t>
  </si>
  <si>
    <t xml:space="preserve">Purchase voucher entries for bought-outs and equipment with taxes, duties, freight</t>
  </si>
  <si>
    <t xml:space="preserve">p5, p6</t>
  </si>
  <si>
    <t xml:space="preserve">Purchase Invoice with tax templates; Landed Cost Voucher</t>
  </si>
  <si>
    <t xml:space="preserve">Landed cost voucher MAT-LCV-2026-00001 (Rs 45,000 freight) apportioned onto the mould-tube receipt</t>
  </si>
  <si>
    <t xml:space="preserve">A-03</t>
  </si>
  <si>
    <t xml:space="preserve">Check purchase invoices against PO qty, rates, terms</t>
  </si>
  <si>
    <t xml:space="preserve">PO–PR–PI matching; over-billing allowance = 0</t>
  </si>
  <si>
    <t xml:space="preserve">Purchase invoice matched to the purchase receipt and PO</t>
  </si>
  <si>
    <t xml:space="preserve">A-04</t>
  </si>
  <si>
    <t xml:space="preserve">Sales entry from sales invoice raised by project coordinator</t>
  </si>
  <si>
    <t xml:space="preserve">Sales Invoice (e-invoice if applicable)</t>
  </si>
  <si>
    <t xml:space="preserve">Intra-state CGST+SGST, inter-state IGST and services invoices</t>
  </si>
  <si>
    <t xml:space="preserve">A-05</t>
  </si>
  <si>
    <t xml:space="preserve">Project payments only after BRM from Procurement</t>
  </si>
  <si>
    <t xml:space="preserve">Payment Entry and Journal Entry validation against a certified BRM</t>
  </si>
  <si>
    <t xml:space="preserve">Custom (application code, mscast_erp.controls.brm_payment)</t>
  </si>
  <si>
    <t xml:space="preserve">Tested on six routes on every build (T6a): a bill with no certified BRM cannot be paid by Payment Entry, by Journal Entry, or as an advance with no reference; a payment above the certified amount is refused; an already-paid BRM cannot fund a second payment. Holds for every user, including a director. Utilities, rent and statutory bills are released by ticking *Exempt from BRM certification* on the supplier (0 of 15 suppliers ticked; MSCAST to list them). App code, so it is version-controlled and shipped in the image</t>
  </si>
  <si>
    <t xml:space="preserve">A-06</t>
  </si>
  <si>
    <t xml:space="preserve">Non-project payments: admin, utilities, credit cards, government, salary</t>
  </si>
  <si>
    <t xml:space="preserve">Payment Entry / Journal Entry</t>
  </si>
  <si>
    <t xml:space="preserve">6 journal vouchers: electricity, petty cash imprest and spend, foreign travel, insurance, cargo agency</t>
  </si>
  <si>
    <t xml:space="preserve">A-07</t>
  </si>
  <si>
    <t xml:space="preserve">Petty cash payments</t>
  </si>
  <si>
    <t xml:space="preserve">Petty cash account + Mode of Payment; Employee Advance for imprest</t>
  </si>
  <si>
    <t xml:space="preserve">Petty Cash account + 'Cash' mode of payment</t>
  </si>
  <si>
    <t xml:space="preserve">A-08</t>
  </si>
  <si>
    <t xml:space="preserve">Customer receipts and receipt to customer</t>
  </si>
  <si>
    <t xml:space="preserve">Payment Entry (Receive) + receipt print format</t>
  </si>
  <si>
    <t xml:space="preserve">Advance receipts against ABG across projects</t>
  </si>
  <si>
    <t xml:space="preserve">A-09</t>
  </si>
  <si>
    <t xml:space="preserve">Cheque printing</t>
  </si>
  <si>
    <t xml:space="preserve">Cheque Print Template (bank-wise)</t>
  </si>
  <si>
    <t xml:space="preserve">'MSCAST Payment Receipt' print format with amount in words and allocation table; HDFC cheque template configured</t>
  </si>
  <si>
    <t xml:space="preserve">A-10</t>
  </si>
  <si>
    <t xml:space="preserve">Cash receipts against travel advances and sale of old items</t>
  </si>
  <si>
    <t xml:space="preserve">Employee Advance return; asset/scrap sale invoice</t>
  </si>
  <si>
    <t xml:space="preserve">P4/P5</t>
  </si>
  <si>
    <t xml:space="preserve">Configured</t>
  </si>
  <si>
    <t xml:space="preserve">A-11</t>
  </si>
  <si>
    <t xml:space="preserve">Debit/credit notes per PO terms</t>
  </si>
  <si>
    <t xml:space="preserve">Debit Note / Credit Note</t>
  </si>
  <si>
    <t xml:space="preserve">Credit note (sales rejection) and debit note (rate difference)</t>
  </si>
  <si>
    <t xml:space="preserve">A-12</t>
  </si>
  <si>
    <t xml:space="preserve">Journal vouchers: travel, asset purchase, insurance, year-end, cargo agencies</t>
  </si>
  <si>
    <t xml:space="preserve">Journal Entry; multi-currency Expense Claim; Landed Cost Voucher</t>
  </si>
  <si>
    <t xml:space="preserve">Foreign travel, marine + erection insurance, cargo agency vouchers</t>
  </si>
  <si>
    <t xml:space="preserve">Q16</t>
  </si>
  <si>
    <t xml:space="preserve">A-13</t>
  </si>
  <si>
    <t xml:space="preserve">Monthly MIS reflecting monthly project costs</t>
  </si>
  <si>
    <t xml:space="preserve">Cost Centre/Project dimension P&amp;L + PCC vs actual MIS</t>
  </si>
  <si>
    <t xml:space="preserve">MSCAST Project MIS + PO vs PCC variance. Every ledger entry is checked to carry a cost centre</t>
  </si>
  <si>
    <t xml:space="preserve">A-14</t>
  </si>
  <si>
    <t xml:space="preserve">Monthly Balance Sheet, P&amp;L, Funds Flow / Cash Flow</t>
  </si>
  <si>
    <t xml:space="preserve">Balance Sheet, P&amp;L, Cash Flow; Schedule III templates</t>
  </si>
  <si>
    <t xml:space="preserve">Schedule III balance sheet and P&amp;L in the statutory vertical format - verified to balance to the rupee and the profit ties to the ledger surplus. Plus the 2021-amendment disclosures and the eleven prescribed ratios (guarded so immaterial denominators show n/a). ASSUMPTION: format still to be signed off by the CA</t>
  </si>
  <si>
    <t xml:space="preserve">CA</t>
  </si>
  <si>
    <t xml:space="preserve">Q10</t>
  </si>
  <si>
    <t xml:space="preserve">M-01</t>
  </si>
  <si>
    <t xml:space="preserve">Employee management: leave, attendance, hours, salary slips</t>
  </si>
  <si>
    <t xml:space="preserve">Frappe HR + india-payroll salary slips</t>
  </si>
  <si>
    <t xml:space="preserve">6 employees, 150 attendance records, leave, 6 salary slips, expense claim</t>
  </si>
  <si>
    <t xml:space="preserve">Q12</t>
  </si>
  <si>
    <t xml:space="preserve">M-02</t>
  </si>
  <si>
    <t xml:space="preserve">Finance Scaling Management</t>
  </si>
  <si>
    <t xml:space="preserve">Unclear requirement</t>
  </si>
  <si>
    <t xml:space="preserve">–</t>
  </si>
  <si>
    <t xml:space="preserve">'MSCAST Finance Scaling - Funding and Capacity': order book and pipeline against scheduled collections, committed outflows, cash, the Rs 2.5 Cr sanctioned HDFC limit and the projected 90-day headroom. ASSUMPTION: read as "can the business fund the order book it is chasing" (Q1)</t>
  </si>
  <si>
    <t xml:space="preserve">MSCAST (Q1)</t>
  </si>
  <si>
    <t xml:space="preserve">Q1</t>
  </si>
  <si>
    <t xml:space="preserve">M-03</t>
  </si>
  <si>
    <t xml:space="preserve">Biometric door lock/unlock integration for attendance</t>
  </si>
  <si>
    <t xml:space="preserve">Employee Checkin API + Shift Type auto-attendance; device sync agent</t>
  </si>
  <si>
    <t xml:space="preserve">Shift type with auto attendance; 72 punches from device MSCAST-DOOR-01 converted into Attendance, plus the audit report (on DEV; on the Live POC MSCAST's trial admin deleted the punches, so T10c fails there). The scheduled pull job is off; enable it and prove it against manually checked attendance before payroll relies on it. ASSUMPTION: no device model given, so the standard push pattern is modelled (Q6)</t>
  </si>
  <si>
    <t xml:space="preserve">MSCAST (Q6)</t>
  </si>
  <si>
    <t xml:space="preserve">Q6</t>
  </si>
  <si>
    <t xml:space="preserve">M-04</t>
  </si>
  <si>
    <t xml:space="preserve">Customer &amp; supplier management</t>
  </si>
  <si>
    <t xml:space="preserve">Customer/Supplier masters, portal, scorecard</t>
  </si>
  <si>
    <t xml:space="preserve">Masters with GST, MSME, capability and scorecard</t>
  </si>
  <si>
    <t xml:space="preserve">AC-01</t>
  </si>
  <si>
    <t xml:space="preserve">Audit trail facility (MCA rule from 1 Apr 2023) with auditor login</t>
  </si>
  <si>
    <t xml:space="preserve">p10</t>
  </si>
  <si>
    <t xml:space="preserve">India Compliance audit trail (cannot be disabled once on) + a read-only auditor role + Accounting Period freeze</t>
  </si>
  <si>
    <t xml:space="preserve">P0/P4</t>
  </si>
  <si>
    <t xml:space="preserve">Audit trail enabled before first entry. Auditor role: read / report / print / export only, including Version history and GL Entry; no write anywhere. Held on DEV by the CA login (S. Joshi); that login was deleted on the Live POC. MSCAST Director is the approving role, not a read-only one</t>
  </si>
  <si>
    <t xml:space="preserve">AC-02</t>
  </si>
  <si>
    <t xml:space="preserve">Edit log of each transaction in ERP</t>
  </si>
  <si>
    <t xml:space="preserve">Version log on all ledger doctypes; 'Audit Trail' report</t>
  </si>
  <si>
    <t xml:space="preserve">Version log + India Compliance Audit Trail report</t>
  </si>
  <si>
    <t xml:space="preserve">Partly (audit trail)</t>
  </si>
  <si>
    <t xml:space="preserve">AC-03</t>
  </si>
  <si>
    <t xml:space="preserve">Alerts for incomplete data, masters and transactions</t>
  </si>
  <si>
    <t xml:space="preserve">Notifications + Auto Email Reports on saved 'missing data' reports</t>
  </si>
  <si>
    <t xml:space="preserve">P1→P4</t>
  </si>
  <si>
    <t xml:space="preserve">9 enabled notifications (BG expiry, PO over PCC, drawing approval) + scheduled reports, all resolving to a live mailbox (checked on every build-check run). Plus the 16-rule overnight sweep at 06:00 IST</t>
  </si>
  <si>
    <t xml:space="preserve">AC-04</t>
  </si>
  <si>
    <t xml:space="preserve">Emailing of all possible outputs</t>
  </si>
  <si>
    <t xml:space="preserve">Email button with PDF print format; Notification attach print; Auto Email Report</t>
  </si>
  <si>
    <t xml:space="preserve">All</t>
  </si>
  <si>
    <t xml:space="preserve">Outgoing mail live through Purelymail; SPF, DKIM and DMARC all pass at Gmail; site host_name set so document links resolve publicly</t>
  </si>
  <si>
    <t xml:space="preserve">AC-05</t>
  </si>
  <si>
    <t xml:space="preserve">Daily SMS to COO/CFO: major-value transactions; revenue &amp; receipts vs purchases &amp; expenses; MIS</t>
  </si>
  <si>
    <t xml:space="preserve">SMS needs TRAI DLT registration and fixed templates - poor fit for a multi-figure summary. Email / WhatsApp / Google Chat recommended</t>
  </si>
  <si>
    <t xml:space="preserve">Config + custom (small)</t>
  </si>
  <si>
    <t xml:space="preserve">P2 / P4</t>
  </si>
  <si>
    <t xml:space="preserve">Daily management summary (20 indicators with an Attention column) at 08:30 IST to autoelectron.jp@gmail.com; AI morning briefing at 08:35 IST, ranking the day's exceptions with every item linked, to waseemraj@mcast.co.in on the Live POC (owner's decision). Google Chat webhooks for transactions above Rs 5 L are configured and disabled until MSCAST gives the space URL</t>
  </si>
  <si>
    <t xml:space="preserve">Q7</t>
  </si>
  <si>
    <t xml:space="preserve">AC-06</t>
  </si>
  <si>
    <t xml:space="preserve">Books in electronic mode; director inspection; 8-year retention; ERP provider undertaking</t>
  </si>
  <si>
    <t xml:space="preserve">p11</t>
  </si>
  <si>
    <t xml:space="preserve">India VPS with daily India backups (Rule 3(5)); GPL software cannot be withdrawn; yearly archive dumps; IT policy</t>
  </si>
  <si>
    <t xml:space="preserve">Config + policy</t>
  </si>
  <si>
    <t xml:space="preserve">MSCAST Archival Log + monthly scheduled script + 8-year retention note + rolling backups; nightly backup at 02:30 JST with all build checks. Off-site India copy is a production step</t>
  </si>
  <si>
    <t xml:space="preserve">Q13</t>
  </si>
  <si>
    <t xml:space="preserve">AC-07</t>
  </si>
  <si>
    <t xml:space="preserve">Indian Accounting Standards list</t>
  </si>
  <si>
    <t xml:space="preserve">p12</t>
  </si>
  <si>
    <t xml:space="preserve">MSCAST likely follows Companies (AS) Rules 2021 as an SMC; Ind AS applies only at net worth ≥ ₹250 Cr</t>
  </si>
  <si>
    <t xml:space="preserve">External (CA)</t>
  </si>
  <si>
    <t xml:space="preserve">'MSCAST Notes to Accounts' - 25 notes including MSMED s.22, related party (AS 18), contingent liabilities from live bank guarantees, CWIP ageing, EPS basis, audit-trail note and the Schedule III negative disclosures. ASSUMPTION: SMC reporting under AS, stated on the face of the note</t>
  </si>
  <si>
    <t xml:space="preserve">AC-08</t>
  </si>
  <si>
    <t xml:space="preserve">Share capital: authorised, issued; reconciliation of shares; &gt;5% shareholders; rights</t>
  </si>
  <si>
    <t xml:space="preserve">p13</t>
  </si>
  <si>
    <t xml:space="preserve">Share capital accounts; Shareholder/Share Transfer records</t>
  </si>
  <si>
    <t xml:space="preserve">Config / External</t>
  </si>
  <si>
    <t xml:space="preserve">3 shareholders, Share Type Equity, 10,000 equity shares of Rs 10 (paid-up Rs 1,00,000). Held as Promoter A / B / C, so invented percentages are not attributed to MSCAST's real directors</t>
  </si>
  <si>
    <t xml:space="preserve">Q19</t>
  </si>
  <si>
    <t xml:space="preserve">AC-09</t>
  </si>
  <si>
    <t xml:space="preserve">Reserves &amp; surplus; borrowings; lease liabilities</t>
  </si>
  <si>
    <t xml:space="preserve">Chart of accounts (Schedule III grouping); lease entries by JV</t>
  </si>
  <si>
    <t xml:space="preserve">Reserves and Surplus, Borrowings - HDFC Term Loan, Lease Liabilities, Prior Period Expenses, Fines and Penalties, Retention Receivable, Petty Cash</t>
  </si>
  <si>
    <t xml:space="preserve">AC-10</t>
  </si>
  <si>
    <t xml:space="preserve">Trade payables split: micro &amp; small enterprises vs others</t>
  </si>
  <si>
    <t xml:space="preserve">Custom Supplier fields (Udyam no., class) + 45-day dues report</t>
  </si>
  <si>
    <t xml:space="preserve">Custom (fields + script report)</t>
  </si>
  <si>
    <t xml:space="preserve">Suppliers tagged Micro/Small with Udyam numbers; 'MSCAST MSME 45-Day Dues' report with days-beyond-45 and disallowance flag. The overnight sweep raises an exception as a bill approaches day 45</t>
  </si>
  <si>
    <t xml:space="preserve">AC-11</t>
  </si>
  <si>
    <t xml:space="preserve">Provisions: gratuity, actuarial valuation &amp; entries; income tax; deferred tax</t>
  </si>
  <si>
    <t xml:space="preserve">Frappe HR Gratuity; liability valuation external → JV; tax &amp; deferred tax by JV</t>
  </si>
  <si>
    <t xml:space="preserve">Standard + External</t>
  </si>
  <si>
    <t xml:space="preserve">P5 / P4</t>
  </si>
  <si>
    <t xml:space="preserve">Gratuity Rule + provision Rs 9.91 L; current tax Rs 15.33 L at 25.168% (s.115BAA) on PBT Rs 60.90 L; deferred tax with DTA on gratuity and DTL on depreciation timing. ASSUMPTIONS stated in each voucher narration</t>
  </si>
  <si>
    <t xml:space="preserve">AC-12</t>
  </si>
  <si>
    <t xml:space="preserve">Fixed asset register: additions, asset ID, disposals, depreciation</t>
  </si>
  <si>
    <t xml:space="preserve">p14</t>
  </si>
  <si>
    <t xml:space="preserve">Asset with depreciation schedules, two Finance Books, disposal/scrap</t>
  </si>
  <si>
    <t xml:space="preserve">4 assets submitted with depreciation schedules</t>
  </si>
  <si>
    <t xml:space="preserve">AC-13</t>
  </si>
  <si>
    <t xml:space="preserve">Identification of own assets vs customer-owned assets</t>
  </si>
  <si>
    <t xml:space="preserve">Separate register (custom doctype)</t>
  </si>
  <si>
    <t xml:space="preserve">Custom (small)</t>
  </si>
  <si>
    <t xml:space="preserve">MSCAST Customer Asset register - customer-supplied mould tube set and gauges held at the sub-contractor, explicitly not capitalised</t>
  </si>
  <si>
    <t xml:space="preserve">Q8</t>
  </si>
  <si>
    <t xml:space="preserve">AC-14</t>
  </si>
  <si>
    <t xml:space="preserve">Intangible assets: software, life, amortisation, under development</t>
  </si>
  <si>
    <t xml:space="preserve">Intangible Asset Category with SLM amortisation; CWIP</t>
  </si>
  <si>
    <t xml:space="preserve">'Software (Intangible)' category + ERP licence Rs 2.40 L amortised over 36 months</t>
  </si>
  <si>
    <t xml:space="preserve">AC-15</t>
  </si>
  <si>
    <t xml:space="preserve">Capital work-in-progress list with completion status</t>
  </si>
  <si>
    <t xml:space="preserve">CWIP accounting on Asset Category + Asset Capitalization</t>
  </si>
  <si>
    <t xml:space="preserve">'Plant under construction (CWIP)' category; Rs 7.80 L in CWIP; available for use in 3 months</t>
  </si>
  <si>
    <t xml:space="preserve">AC-16</t>
  </si>
  <si>
    <t xml:space="preserve">Closing stock register category-wise and item-wise</t>
  </si>
  <si>
    <t xml:space="preserve">Stock Balance by item group/warehouse</t>
  </si>
  <si>
    <t xml:space="preserve">Stock Balance by item group and warehouse</t>
  </si>
  <si>
    <t xml:space="preserve">AC-17</t>
  </si>
  <si>
    <t xml:space="preserve">Working of valuation of semi-finished inventory (WIP)</t>
  </si>
  <si>
    <t xml:space="preserve">Project WIP account + JV on sale</t>
  </si>
  <si>
    <t xml:space="preserve">Custom / design decision</t>
  </si>
  <si>
    <t xml:space="preserve">P3 / P4</t>
  </si>
  <si>
    <t xml:space="preserve">'MSCAST Project WIP Valuation' report carrying Rs 26.71 L. Method: bought-out billed + material issued + engineering hours at Rs 450/hr + 12% works overhead, less the cost of the billed portion. ASSUMPTION: method needs the auditor's blessing (D6)</t>
  </si>
  <si>
    <t xml:space="preserve">CA (decision D6)</t>
  </si>
  <si>
    <t xml:space="preserve">Q11</t>
  </si>
  <si>
    <t xml:space="preserve">AC-18</t>
  </si>
  <si>
    <t xml:space="preserve">GST on closing inventory</t>
  </si>
  <si>
    <t xml:space="preserve">Not a regular GST concept (ITC reversal only on cancellation)</t>
  </si>
  <si>
    <t xml:space="preserve">'MSCAST GST on Closing Inventory (ITC and ITC-04)' - stock by warehouse with HSN, value, embedded ITC and the treatment note, separating stock at the job worker (ITC-04, one-year rule) from stock on own premises</t>
  </si>
  <si>
    <t xml:space="preserve">Q9</t>
  </si>
  <si>
    <t xml:space="preserve">AC-19</t>
  </si>
  <si>
    <t xml:space="preserve">Sales reconciliation incl. with GSTR-1; rate difference; rejections</t>
  </si>
  <si>
    <t xml:space="preserve">p15</t>
  </si>
  <si>
    <t xml:space="preserve">GSTR-1 (Books vs Filed); credit/debit notes; sales returns</t>
  </si>
  <si>
    <t xml:space="preserve">GST sales invoices with correct CGST/SGST vs IGST, checked against the place of supply on every invoice on every build-check run; GSTR-1 and GST Sales Register available</t>
  </si>
  <si>
    <t xml:space="preserve">Yes (GST)</t>
  </si>
  <si>
    <t xml:space="preserve">AC-20</t>
  </si>
  <si>
    <t xml:space="preserve">Purchase reconciliation with GSTR; rejections</t>
  </si>
  <si>
    <t xml:space="preserve">Purchase Reconciliation Tool (GSTR-2A/2B); purchase returns</t>
  </si>
  <si>
    <t xml:space="preserve">PINV with input IGST; Purchase Reconciliation Tool available</t>
  </si>
  <si>
    <t xml:space="preserve">AC-21</t>
  </si>
  <si>
    <t xml:space="preserve">Expenses: monthly volume, last-year comparison, ratio to sales</t>
  </si>
  <si>
    <t xml:space="preserve">P&amp;L Growth View and Margin View</t>
  </si>
  <si>
    <t xml:space="preserve">'MSCAST Expense Analysis (vs last year, share of sales)' report</t>
  </si>
  <si>
    <t xml:space="preserve">AC-22</t>
  </si>
  <si>
    <t xml:space="preserve">TDS deduction on expenses</t>
  </si>
  <si>
    <t xml:space="preserve">Tax Withholding Categories (194C/194J etc.)</t>
  </si>
  <si>
    <t xml:space="preserve">TDS 194C category (2%) on the fabricator, with TDS deducted on the invoice</t>
  </si>
  <si>
    <t xml:space="preserve">AC-23</t>
  </si>
  <si>
    <t xml:space="preserve">Monthly payroll matching all deductions: PF, ESI, PT, TDS</t>
  </si>
  <si>
    <t xml:space="preserve">Salary Register + PF/ESI/PT/TDS registers</t>
  </si>
  <si>
    <t xml:space="preserve">Standard (+ bug check)</t>
  </si>
  <si>
    <t xml:space="preserve">6 salary slips with PF 12%, ESIC, Professional Tax MH and TDS; india_payroll registers need statutory config. v16 Maharashtra PT women-exemption bug to be checked before go-live</t>
  </si>
  <si>
    <t xml:space="preserve">AC-24</t>
  </si>
  <si>
    <t xml:space="preserve">Prior period expenses; fines &amp; penalties under any law</t>
  </si>
  <si>
    <t xml:space="preserve">Separate GL accounts + JV tagging</t>
  </si>
  <si>
    <t xml:space="preserve">Both accounts created</t>
  </si>
  <si>
    <t xml:space="preserve">AC-25</t>
  </si>
  <si>
    <t xml:space="preserve">Warranty claims</t>
  </si>
  <si>
    <t xml:space="preserve">Warranty Claim + Maintenance Visit; warranty provision account</t>
  </si>
  <si>
    <t xml:space="preserve">1 open warranty claim against a spare roll</t>
  </si>
  <si>
    <t xml:space="preserve">What was added</t>
  </si>
  <si>
    <t xml:space="preserve">Why MSCAST needs it (plain words)</t>
  </si>
  <si>
    <t xml:space="preserve">Protects requirement(s)</t>
  </si>
  <si>
    <t xml:space="preserve">Where to see it</t>
  </si>
  <si>
    <t xml:space="preserve">Automatic check (technical)</t>
  </si>
  <si>
    <t xml:space="preserve">X-01</t>
  </si>
  <si>
    <t xml:space="preserve">Installable application package (mscast_erp)</t>
  </si>
  <si>
    <t xml:space="preserve">The same system can be installed on MSCAST's own server and upgraded safely. Nothing lives only on the builder's laptop.</t>
  </si>
  <si>
    <t xml:space="preserve">All; AC-06</t>
  </si>
  <si>
    <t xml:space="preserve">Repository github.com/cb1-tech/mscast</t>
  </si>
  <si>
    <t xml:space="preserve">T6m</t>
  </si>
  <si>
    <t xml:space="preserve">Added by the implementer</t>
  </si>
  <si>
    <t xml:space="preserve">X-02</t>
  </si>
  <si>
    <t xml:space="preserve">One-step fresh install that tests itself</t>
  </si>
  <si>
    <t xml:space="preserve">A clean production system can be built in one step, and it refuses to report success unless 19 system checks pass.</t>
  </si>
  <si>
    <t xml:space="preserve">Script new-mscast-site.sh; doc 08</t>
  </si>
  <si>
    <t xml:space="preserve">T1–T7b (system set)</t>
  </si>
  <si>
    <t xml:space="preserve">X-03</t>
  </si>
  <si>
    <t xml:space="preserve">Nightly backup, with restore tested</t>
  </si>
  <si>
    <t xml:space="preserve">Data can be recovered after a failure. The books must stay recoverable (Companies (Accounts) Rules r.3(5)). The backup carries the encryption key so saved passwords still work after a restore.</t>
  </si>
  <si>
    <t xml:space="preserve">Windows task "MSCAST nightly backup" 02:30 JST; restore-test.sh</t>
  </si>
  <si>
    <t xml:space="preserve">T9g, T9h</t>
  </si>
  <si>
    <t xml:space="preserve">X-04</t>
  </si>
  <si>
    <t xml:space="preserve">Backup watchdog and failure alerts</t>
  </si>
  <si>
    <t xml:space="preserve">Someone is emailed if the nightly backup or the checks fail, or if the nightly job stops running.</t>
  </si>
  <si>
    <t xml:space="preserve">Email to the implementer; 09:00 IST watchdog</t>
  </si>
  <si>
    <t xml:space="preserve">T9h</t>
  </si>
  <si>
    <t xml:space="preserve">X-05</t>
  </si>
  <si>
    <t xml:space="preserve">42 automatic checks, run every night</t>
  </si>
  <si>
    <t xml:space="preserve">The system tests itself: reports run, prints render, the books balance, controls hold, permissions are right. Problems are caught before staff meet them.</t>
  </si>
  <si>
    <t xml:space="preserve">AC-01, AC-03</t>
  </si>
  <si>
    <t xml:space="preserve">POC README, section "Build checks"</t>
  </si>
  <si>
    <t xml:space="preserve">all</t>
  </si>
  <si>
    <t xml:space="preserve">X-06</t>
  </si>
  <si>
    <t xml:space="preserve">Payment block on every way of paying a supplier</t>
  </si>
  <si>
    <t xml:space="preserve">Money cannot go out on a supplier bill without a certified BRM – whether paid by Payment Entry, Journal Entry or as an advance, and not above the certified amount. Utilities, rent and statutory payees are marked exempt so they can still be paid.</t>
  </si>
  <si>
    <t xml:space="preserve">P-08, A-05, A-06, PC-06</t>
  </si>
  <si>
    <t xml:space="preserve">Stop 6 of the demo run-sheet (doc 12)</t>
  </si>
  <si>
    <t xml:space="preserve">T6a, T6c</t>
  </si>
  <si>
    <t xml:space="preserve">X-07</t>
  </si>
  <si>
    <t xml:space="preserve">A BRM cannot be certified unless its four checks are ticked</t>
  </si>
  <si>
    <t xml:space="preserve">Certification means quantity, rate, inspection and delivery were actually checked against the PO.</t>
  </si>
  <si>
    <t xml:space="preserve">P-08, PC-06, A-03</t>
  </si>
  <si>
    <t xml:space="preserve">Any certified BRM on DEV, e.g. BRM-2026-00003</t>
  </si>
  <si>
    <t xml:space="preserve">T6n</t>
  </si>
  <si>
    <t xml:space="preserve">X-08</t>
  </si>
  <si>
    <t xml:space="preserve">Kick-off held until the customer PO matches the offer</t>
  </si>
  <si>
    <t xml:space="preserve">A project cannot start while the customer PO checklist is incomplete – differences in payment terms, LD, PBG are caught first.</t>
  </si>
  <si>
    <t xml:space="preserve">PC-01, S-04, PR-01</t>
  </si>
  <si>
    <t xml:space="preserve">KICK-2026-00002 on DEV (held)</t>
  </si>
  <si>
    <t xml:space="preserve">T6j</t>
  </si>
  <si>
    <t xml:space="preserve">X-09</t>
  </si>
  <si>
    <t xml:space="preserve">Two people on every purchase order</t>
  </si>
  <si>
    <t xml:space="preserve">Purchase sends the PO; a director approves it. One person cannot do both.</t>
  </si>
  <si>
    <t xml:space="preserve">P-04, PC-03</t>
  </si>
  <si>
    <t xml:space="preserve">PUR-ORD-2026-00002 on DEV</t>
  </si>
  <si>
    <t xml:space="preserve">T6d</t>
  </si>
  <si>
    <t xml:space="preserve">X-10</t>
  </si>
  <si>
    <t xml:space="preserve">Drawings released for manufacture only after customer approval</t>
  </si>
  <si>
    <t xml:space="preserve">Nothing is manufactured from a drawing the customer has not approved; only a Projects Manager releases.</t>
  </si>
  <si>
    <t xml:space="preserve">E-02, P-05</t>
  </si>
  <si>
    <t xml:space="preserve">MSCAST Drawing Register on DEV</t>
  </si>
  <si>
    <t xml:space="preserve">X-11</t>
  </si>
  <si>
    <t xml:space="preserve">Permissions per role, and a read-only login for the CA</t>
  </si>
  <si>
    <t xml:space="preserve">Each person can open and do exactly what their role card says; the CA can read everything and change nothing.</t>
  </si>
  <si>
    <t xml:space="preserve">AC-01, AC-02</t>
  </si>
  <si>
    <t xml:space="preserve">Role Cards (doc 09)</t>
  </si>
  <si>
    <t xml:space="preserve">T6h, T6i, T6k, T6l</t>
  </si>
  <si>
    <t xml:space="preserve">X-12</t>
  </si>
  <si>
    <t xml:space="preserve">Overnight exception check (16 rules, 06:00 IST)</t>
  </si>
  <si>
    <t xml:space="preserve">Every morning a list of problems: uncertified bills, MSME payment deadlines, expiring bank guarantees, projects with no time booked, dispatch without paperwork.</t>
  </si>
  <si>
    <t xml:space="preserve">AC-03, AC-10, P-13</t>
  </si>
  <si>
    <t xml:space="preserve">MSCAST Exception list</t>
  </si>
  <si>
    <t xml:space="preserve">T9f</t>
  </si>
  <si>
    <t xml:space="preserve">X-13</t>
  </si>
  <si>
    <t xml:space="preserve">Morning emails at 08:30 IST</t>
  </si>
  <si>
    <t xml:space="preserve">Management summary, dispatch schedule and project MIS arrive by email – no login needed.</t>
  </si>
  <si>
    <t xml:space="preserve">AC-04, AC-05, PC-13</t>
  </si>
  <si>
    <t xml:space="preserve">Email to the configured recipients</t>
  </si>
  <si>
    <t xml:space="preserve">T9c</t>
  </si>
  <si>
    <t xml:space="preserve">X-14</t>
  </si>
  <si>
    <t xml:space="preserve">AI morning briefing at 08:35 IST</t>
  </si>
  <si>
    <t xml:space="preserve">A few plain sentences on what matters most today, each item linked. Falls back to a plain list if the AI service is unreachable.</t>
  </si>
  <si>
    <t xml:space="preserve">Email (on the Live POC: waseemraj@mcast.co.in)</t>
  </si>
  <si>
    <t xml:space="preserve">X-15</t>
  </si>
  <si>
    <t xml:space="preserve">Director home page and dashboard</t>
  </si>
  <si>
    <t xml:space="preserve">One page: cash, receivables, payables, order book, each project's margin and billing, and what needs attention today.</t>
  </si>
  <si>
    <t xml:space="preserve">A-13, PC-13</t>
  </si>
  <si>
    <t xml:space="preserve">Home page as a director</t>
  </si>
  <si>
    <t xml:space="preserve">T1b</t>
  </si>
  <si>
    <t xml:space="preserve">X-16</t>
  </si>
  <si>
    <t xml:space="preserve">Statutory pack for the CA</t>
  </si>
  <si>
    <t xml:space="preserve">Schedule III balance sheet and P&amp;L that balance to the rupee, ageing, the eleven prescribed ratios, 25 notes.</t>
  </si>
  <si>
    <t xml:space="preserve">A-14, AC-07 to AC-16</t>
  </si>
  <si>
    <t xml:space="preserve">MSCAST Balance Sheet (Schedule III)</t>
  </si>
  <si>
    <t xml:space="preserve">T5a–T5d</t>
  </si>
  <si>
    <t xml:space="preserve">X-17</t>
  </si>
  <si>
    <t xml:space="preserve">GST masters loaded</t>
  </si>
  <si>
    <t xml:space="preserve">18,687 HSN codes, GST accounts and tax templates, so invoices carry the right GST from day one.</t>
  </si>
  <si>
    <t xml:space="preserve">AC-19, AC-20, PC-07</t>
  </si>
  <si>
    <t xml:space="preserve">Any sales invoice on DEV</t>
  </si>
  <si>
    <t xml:space="preserve">T7c, T8</t>
  </si>
  <si>
    <t xml:space="preserve">X-18</t>
  </si>
  <si>
    <t xml:space="preserve">MSCAST branding, letterhead and 15 print formats</t>
  </si>
  <si>
    <t xml:space="preserve">Documents look like MSCAST's own. On the demo systems every print carries a DEMONSTRATION mark so it cannot be mistaken for a real invoice.</t>
  </si>
  <si>
    <t xml:space="preserve">Print any PCC or proforma on DEV</t>
  </si>
  <si>
    <t xml:space="preserve">T4, T4b</t>
  </si>
  <si>
    <t xml:space="preserve">X-19</t>
  </si>
  <si>
    <t xml:space="preserve">Monthly archival job</t>
  </si>
  <si>
    <t xml:space="preserve">Keeps records retrievable for the 8-year retention period.</t>
  </si>
  <si>
    <t xml:space="preserve">MSCAST Archival Log</t>
  </si>
  <si>
    <t xml:space="preserve">X-20</t>
  </si>
  <si>
    <t xml:space="preserve">DEV copy of the system</t>
  </si>
  <si>
    <t xml:space="preserve">Try changes, train staff and give demos without touching the Live POC.</t>
  </si>
  <si>
    <t xml:space="preserve">—</t>
  </si>
  <si>
    <t xml:space="preserve">https://mscastdev.carobar.net</t>
  </si>
  <si>
    <t xml:space="preserve">X-21</t>
  </si>
  <si>
    <t xml:space="preserve">Public web address with a valid certificate</t>
  </si>
  <si>
    <t xml:space="preserve">Open the system from anywhere in a browser; no VPN or software to install.</t>
  </si>
  <si>
    <t xml:space="preserve">https://mscast.carobar.net</t>
  </si>
  <si>
    <t xml:space="preserve">X-22</t>
  </si>
  <si>
    <t xml:space="preserve">Realistic demonstration data</t>
  </si>
  <si>
    <t xml:space="preserve">3 projects at different stages, 63 items, 28 parties, 14 installed machines, 6 employees with payroll – every screen shows real-looking numbers.</t>
  </si>
  <si>
    <t xml:space="preserve">DEV</t>
  </si>
  <si>
    <t xml:space="preserve">T7a</t>
  </si>
  <si>
    <t xml:space="preserve">X-23</t>
  </si>
  <si>
    <t xml:space="preserve">13 documents</t>
  </si>
  <si>
    <t xml:space="preserve">Setup guide, SOPs, role cards, operating rules, cutover runbook, demo run-sheet and others, so MSCAST is not dependent on one person's memory.</t>
  </si>
  <si>
    <t xml:space="preserve">ERP Plan folder; the project</t>
  </si>
  <si>
    <t xml:space="preserve">#</t>
  </si>
  <si>
    <t xml:space="preserve">Topic</t>
  </si>
  <si>
    <t xml:space="preserve">Question</t>
  </si>
  <si>
    <t xml:space="preserve">Related requirement IDs</t>
  </si>
  <si>
    <t xml:space="preserve">Who answers</t>
  </si>
  <si>
    <t xml:space="preserve">Needed by</t>
  </si>
  <si>
    <t xml:space="preserve">Answer (fill in)</t>
  </si>
  <si>
    <t xml:space="preserve">What exactly is meant (budgets, cash-flow forecasting, multi-entity growth, credit limits)?</t>
  </si>
  <si>
    <t xml:space="preserve">MSCAST</t>
  </si>
  <si>
    <t xml:space="preserve">PCC</t>
  </si>
  <si>
    <t xml:space="preserve">Share the current PCC template, who prepares/approves it, how often it is revised, and whether it is at component or assembly level.</t>
  </si>
  <si>
    <t xml:space="preserve">S-02, PC-03, P-09</t>
  </si>
  <si>
    <t xml:space="preserve">Project MIS</t>
  </si>
  <si>
    <t xml:space="preserve">Share the 'New Project MIS' template and the monthly project cost MIS format.</t>
  </si>
  <si>
    <t xml:space="preserve">PC-13, A-13</t>
  </si>
  <si>
    <t xml:space="preserve">Q4</t>
  </si>
  <si>
    <t xml:space="preserve">BRM</t>
  </si>
  <si>
    <t xml:space="preserve">Share the Billing Routing Memo format, approvers and payment release rules. A director certifies today: confirm that is MSCAST's intent. List the suppliers to mark *Exempt from BRM certification*.</t>
  </si>
  <si>
    <t xml:space="preserve">P-08, A-05</t>
  </si>
  <si>
    <t xml:space="preserve">MDM / DI / Annexure-I</t>
  </si>
  <si>
    <t xml:space="preserve">Share sample Material Dispatch Memo, Delivery Instruction and Annexure-I.</t>
  </si>
  <si>
    <t xml:space="preserve">P-11, PC-04, P-12</t>
  </si>
  <si>
    <t xml:space="preserve">Biometric access control</t>
  </si>
  <si>
    <t xml:space="preserve">Device make/model and count; network; should the ERP only read punches or also control door lock/unlock?</t>
  </si>
  <si>
    <t xml:space="preserve">Daily SMS</t>
  </si>
  <si>
    <t xml:space="preserve">Recipients; is WhatsApp/Google Chat/email acceptable instead of SMS? Is DLT registration done?</t>
  </si>
  <si>
    <t xml:space="preserve">Customer-owned assets</t>
  </si>
  <si>
    <t xml:space="preserve">What are these assets? How are they recorded today?</t>
  </si>
  <si>
    <t xml:space="preserve">What report/working is expected?</t>
  </si>
  <si>
    <t xml:space="preserve">Accounting standards</t>
  </si>
  <si>
    <t xml:space="preserve">CA to confirm AS vs Ind AS and SMC/small-company status; is a cash flow statement needed?</t>
  </si>
  <si>
    <t xml:space="preserve">AC-07, A-14</t>
  </si>
  <si>
    <t xml:space="preserve">WIP valuation</t>
  </si>
  <si>
    <t xml:space="preserve">How is project WIP valued in Tally today?</t>
  </si>
  <si>
    <t xml:space="preserve">Payroll</t>
  </si>
  <si>
    <t xml:space="preserve">Headcount under PF/ESI; current payroll provider; gratuity valuation method.</t>
  </si>
  <si>
    <t xml:space="preserve">M-01, AC-23, AC-11</t>
  </si>
  <si>
    <t xml:space="preserve">MSCAST + CA</t>
  </si>
  <si>
    <t xml:space="preserve">8-year undertaking</t>
  </si>
  <si>
    <t xml:space="preserve">Is an open-source + archival/backup policy acceptable in place of a vendor undertaking?</t>
  </si>
  <si>
    <t xml:space="preserve">Additional claims</t>
  </si>
  <si>
    <t xml:space="preserve">How are claims agreed and billed?</t>
  </si>
  <si>
    <t xml:space="preserve">Spares Dept</t>
  </si>
  <si>
    <t xml:space="preserve">Separate team? Spares from stock or order-based? Price lists?</t>
  </si>
  <si>
    <t xml:space="preserve">Foreign travel / exports</t>
  </si>
  <si>
    <t xml:space="preserve">Frequency, currencies, export orders?</t>
  </si>
  <si>
    <t xml:space="preserve">Equipment-wise man-hours</t>
  </si>
  <si>
    <t xml:space="preserve">Which list defines 'equipment'?</t>
  </si>
  <si>
    <t xml:space="preserve">Flowchart order</t>
  </si>
  <si>
    <t xml:space="preserve">Are long-lead bought-outs ordered before design is complete?</t>
  </si>
  <si>
    <t xml:space="preserve">E-04, P-04</t>
  </si>
  <si>
    <t xml:space="preserve">Share register</t>
  </si>
  <si>
    <t xml:space="preserve">Keep shareholder/share transfer records in the ERP, or with the company secretary?</t>
  </si>
  <si>
    <t xml:space="preserve">Self-approval on the PCC and the kick-off</t>
  </si>
  <si>
    <t xml:space="preserve">A director can prepare a PCC, or verify a customer PO, and then approve it alone (build check T6e). Confirm this is intended, or move preparation to staff.</t>
  </si>
  <si>
    <t xml:space="preserve">S-02, PC-01</t>
  </si>
  <si>
    <t xml:space="preserve">Before go-live</t>
  </si>
  <si>
    <t xml:space="preserve">Self-certification on supplier bills</t>
  </si>
  <si>
    <t xml:space="preserve">A director can create a BRM, certify it and mark it paid, alone (build check T6g). This step releases money to an outside party. Confirm this is intended, or remove Projects Manager from the director accounts so that only Purchase can prepare a BRM.</t>
  </si>
  <si>
    <t xml:space="preserve">P-08, PC-06, A-05</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</si>
</sst>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4E0"/>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4E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E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3.85" hidden="false" customHeight="false" outlineLevel="0" collapsed="false">
      <c r="A15" s="2" t="s">
        <v>11</v>
      </c>
    </row>
    <row r="16" customFormat="false" ht="23.8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0"/>
  </cols>
  <sheetData>
    <row r="1" customFormat="false" ht="17.35" hidden="false" customHeight="false" outlineLevel="0" collapsed="false">
      <c r="A1" s="4" t="s">
        <v>15</v>
      </c>
    </row>
    <row r="3" customFormat="false" ht="15" hidden="false" customHeight="false" outlineLevel="0" collapsed="false">
      <c r="A3" s="5" t="s">
        <v>16</v>
      </c>
    </row>
    <row r="4" customFormat="false" ht="15" hidden="false" customHeight="false" outlineLevel="0" collapsed="false">
      <c r="A4" s="5" t="s">
        <v>17</v>
      </c>
      <c r="B4" s="5" t="s">
        <v>18</v>
      </c>
      <c r="C4" s="5" t="s">
        <v>19</v>
      </c>
    </row>
    <row r="5" customFormat="false" ht="15" hidden="false" customHeight="false" outlineLevel="0" collapsed="false">
      <c r="A5" s="6" t="s">
        <v>20</v>
      </c>
      <c r="B5" s="6" t="n">
        <f aca="false">COUNTA('From MSCAST requirements'!A2:A500)</f>
        <v>97</v>
      </c>
      <c r="C5" s="7" t="n">
        <f aca="false">IF($B$7=0,0,B5/$B$7)</f>
        <v>0.808333333333333</v>
      </c>
    </row>
    <row r="6" customFormat="false" ht="15" hidden="false" customHeight="false" outlineLevel="0" collapsed="false">
      <c r="A6" s="6" t="s">
        <v>21</v>
      </c>
      <c r="B6" s="6" t="n">
        <f aca="false">COUNTA('Added to make it work'!A2:A500)</f>
        <v>23</v>
      </c>
      <c r="C6" s="7" t="n">
        <f aca="false">IF($B$7=0,0,B6/$B$7)</f>
        <v>0.191666666666667</v>
      </c>
    </row>
    <row r="7" customFormat="false" ht="15" hidden="false" customHeight="false" outlineLevel="0" collapsed="false">
      <c r="A7" s="5" t="s">
        <v>22</v>
      </c>
      <c r="B7" s="5" t="n">
        <f aca="false">B5+B6</f>
        <v>120</v>
      </c>
    </row>
    <row r="9" customFormat="false" ht="15" hidden="false" customHeight="false" outlineLevel="0" collapsed="false">
      <c r="A9" s="5" t="s">
        <v>23</v>
      </c>
    </row>
    <row r="10" customFormat="false" ht="15" hidden="false" customHeight="false" outlineLevel="0" collapsed="false">
      <c r="A10" s="5" t="s">
        <v>24</v>
      </c>
      <c r="B10" s="5" t="s">
        <v>25</v>
      </c>
    </row>
    <row r="11" customFormat="false" ht="15" hidden="false" customHeight="false" outlineLevel="0" collapsed="false">
      <c r="A11" s="6" t="s">
        <v>26</v>
      </c>
      <c r="B11" s="6" t="n">
        <f aca="false">COUNTIF('From MSCAST requirements'!J2:J500,A11)</f>
        <v>91</v>
      </c>
    </row>
    <row r="12" customFormat="false" ht="15" hidden="false" customHeight="false" outlineLevel="0" collapsed="false">
      <c r="A12" s="6" t="s">
        <v>27</v>
      </c>
      <c r="B12" s="6" t="n">
        <f aca="false">COUNTIF('From MSCAST requirements'!J2:J500,A12)</f>
        <v>6</v>
      </c>
    </row>
    <row r="13" customFormat="false" ht="15" hidden="false" customHeight="false" outlineLevel="0" collapsed="false">
      <c r="A13" s="6" t="s">
        <v>28</v>
      </c>
      <c r="B13" s="6" t="n">
        <f aca="false">COUNTIF('From MSCAST requirements'!J2:J500,A13)</f>
        <v>0</v>
      </c>
    </row>
    <row r="14" customFormat="false" ht="15" hidden="false" customHeight="false" outlineLevel="0" collapsed="false">
      <c r="A14" s="6" t="s">
        <v>29</v>
      </c>
      <c r="B14" s="6" t="n">
        <f aca="false">COUNTIF('From MSCAST requirements'!J2:J500,A14)</f>
        <v>0</v>
      </c>
    </row>
    <row r="15" customFormat="false" ht="15" hidden="false" customHeight="false" outlineLevel="0" collapsed="false">
      <c r="A15" s="5" t="s">
        <v>22</v>
      </c>
      <c r="B15" s="5" t="n">
        <f aca="false">SUM(B11:B14)</f>
        <v>97</v>
      </c>
    </row>
    <row r="17" customFormat="false" ht="15" hidden="false" customHeight="false" outlineLevel="0" collapsed="false">
      <c r="A17" s="5" t="s">
        <v>30</v>
      </c>
    </row>
    <row r="18" customFormat="false" ht="15" hidden="false" customHeight="false" outlineLevel="0" collapsed="false">
      <c r="A18" s="5" t="s">
        <v>31</v>
      </c>
      <c r="B18" s="5" t="s">
        <v>25</v>
      </c>
    </row>
    <row r="19" customFormat="false" ht="15" hidden="false" customHeight="false" outlineLevel="0" collapsed="false">
      <c r="A19" s="6" t="s">
        <v>32</v>
      </c>
      <c r="B19" s="6" t="n">
        <f aca="false">COUNTIF('From MSCAST requirements'!G2:G500,A19)</f>
        <v>48</v>
      </c>
    </row>
    <row r="20" customFormat="false" ht="15" hidden="false" customHeight="false" outlineLevel="0" collapsed="false">
      <c r="A20" s="6" t="s">
        <v>33</v>
      </c>
      <c r="B20" s="6" t="n">
        <f aca="false">COUNTIF('From MSCAST requirements'!G2:G500,A20)</f>
        <v>23</v>
      </c>
    </row>
    <row r="21" customFormat="false" ht="15" hidden="false" customHeight="false" outlineLevel="0" collapsed="false">
      <c r="A21" s="6" t="s">
        <v>34</v>
      </c>
      <c r="B21" s="6" t="n">
        <f aca="false">COUNTIF('From MSCAST requirements'!G2:G500,A21)</f>
        <v>22</v>
      </c>
    </row>
    <row r="22" customFormat="false" ht="15" hidden="false" customHeight="false" outlineLevel="0" collapsed="false">
      <c r="A22" s="6" t="s">
        <v>35</v>
      </c>
      <c r="B22" s="6" t="n">
        <f aca="false">COUNTIF('From MSCAST requirements'!G2:G500,A22)</f>
        <v>1</v>
      </c>
    </row>
    <row r="23" customFormat="false" ht="15" hidden="false" customHeight="false" outlineLevel="0" collapsed="false">
      <c r="A23" s="6" t="s">
        <v>36</v>
      </c>
      <c r="B23" s="6" t="n">
        <f aca="false">COUNTIF('From MSCAST requirements'!G2:G500,A23)</f>
        <v>1</v>
      </c>
    </row>
    <row r="24" customFormat="false" ht="15" hidden="false" customHeight="false" outlineLevel="0" collapsed="false">
      <c r="A24" s="6" t="s">
        <v>37</v>
      </c>
      <c r="B24" s="6" t="n">
        <f aca="false">COUNTIF('From MSCAST requirements'!G2:G500,A24)</f>
        <v>2</v>
      </c>
    </row>
    <row r="25" customFormat="false" ht="15" hidden="false" customHeight="false" outlineLevel="0" collapsed="false">
      <c r="A25" s="5" t="s">
        <v>22</v>
      </c>
      <c r="B25" s="5" t="n">
        <f aca="false">SUM(B19:B24)</f>
        <v>97</v>
      </c>
    </row>
    <row r="27" customFormat="false" ht="15" hidden="false" customHeight="false" outlineLevel="0" collapsed="false">
      <c r="A27" s="5" t="s">
        <v>38</v>
      </c>
    </row>
    <row r="28" customFormat="false" ht="15" hidden="false" customHeight="false" outlineLevel="0" collapsed="false">
      <c r="A28" s="5" t="s">
        <v>39</v>
      </c>
      <c r="B28" s="5" t="s">
        <v>25</v>
      </c>
    </row>
    <row r="29" customFormat="false" ht="15" hidden="false" customHeight="false" outlineLevel="0" collapsed="false">
      <c r="A29" s="6" t="s">
        <v>40</v>
      </c>
      <c r="B29" s="6" t="n">
        <f aca="false">COUNTIF('From MSCAST requirements'!B2:B500,A29)</f>
        <v>5</v>
      </c>
    </row>
    <row r="30" customFormat="false" ht="15" hidden="false" customHeight="false" outlineLevel="0" collapsed="false">
      <c r="A30" s="6" t="s">
        <v>41</v>
      </c>
      <c r="B30" s="6" t="n">
        <f aca="false">COUNTIF('From MSCAST requirements'!B2:B500,A30)</f>
        <v>9</v>
      </c>
    </row>
    <row r="31" customFormat="false" ht="15" hidden="false" customHeight="false" outlineLevel="0" collapsed="false">
      <c r="A31" s="6" t="s">
        <v>42</v>
      </c>
      <c r="B31" s="6" t="n">
        <f aca="false">COUNTIF('From MSCAST requirements'!B2:B500,A31)</f>
        <v>19</v>
      </c>
    </row>
    <row r="32" customFormat="false" ht="15" hidden="false" customHeight="false" outlineLevel="0" collapsed="false">
      <c r="A32" s="6" t="s">
        <v>43</v>
      </c>
      <c r="B32" s="6" t="n">
        <f aca="false">COUNTIF('From MSCAST requirements'!B2:B500,A32)</f>
        <v>6</v>
      </c>
    </row>
    <row r="33" customFormat="false" ht="15" hidden="false" customHeight="false" outlineLevel="0" collapsed="false">
      <c r="A33" s="6" t="s">
        <v>44</v>
      </c>
      <c r="B33" s="6" t="n">
        <f aca="false">COUNTIF('From MSCAST requirements'!B2:B500,A33)</f>
        <v>13</v>
      </c>
    </row>
    <row r="34" customFormat="false" ht="15" hidden="false" customHeight="false" outlineLevel="0" collapsed="false">
      <c r="A34" s="6" t="s">
        <v>45</v>
      </c>
      <c r="B34" s="6" t="n">
        <f aca="false">COUNTIF('From MSCAST requirements'!B2:B500,A34)</f>
        <v>1</v>
      </c>
    </row>
    <row r="35" customFormat="false" ht="15" hidden="false" customHeight="false" outlineLevel="0" collapsed="false">
      <c r="A35" s="6" t="s">
        <v>46</v>
      </c>
      <c r="B35" s="6" t="n">
        <f aca="false">COUNTIF('From MSCAST requirements'!B2:B500,A35)</f>
        <v>1</v>
      </c>
    </row>
    <row r="36" customFormat="false" ht="15" hidden="false" customHeight="false" outlineLevel="0" collapsed="false">
      <c r="A36" s="6" t="s">
        <v>47</v>
      </c>
      <c r="B36" s="6" t="n">
        <f aca="false">COUNTIF('From MSCAST requirements'!B2:B500,A36)</f>
        <v>14</v>
      </c>
    </row>
    <row r="37" customFormat="false" ht="15" hidden="false" customHeight="false" outlineLevel="0" collapsed="false">
      <c r="A37" s="6" t="s">
        <v>48</v>
      </c>
      <c r="B37" s="6" t="n">
        <f aca="false">COUNTIF('From MSCAST requirements'!B2:B500,A37)</f>
        <v>4</v>
      </c>
    </row>
    <row r="38" customFormat="false" ht="15" hidden="false" customHeight="false" outlineLevel="0" collapsed="false">
      <c r="A38" s="6" t="s">
        <v>49</v>
      </c>
      <c r="B38" s="6" t="n">
        <f aca="false">COUNTIF('From MSCAST requirements'!B2:B500,A38)</f>
        <v>2</v>
      </c>
    </row>
    <row r="39" customFormat="false" ht="15" hidden="false" customHeight="false" outlineLevel="0" collapsed="false">
      <c r="A39" s="6" t="s">
        <v>50</v>
      </c>
      <c r="B39" s="6" t="n">
        <f aca="false">COUNTIF('From MSCAST requirements'!B2:B500,A39)</f>
        <v>3</v>
      </c>
    </row>
    <row r="40" customFormat="false" ht="15" hidden="false" customHeight="false" outlineLevel="0" collapsed="false">
      <c r="A40" s="6" t="s">
        <v>51</v>
      </c>
      <c r="B40" s="6" t="n">
        <f aca="false">COUNTIF('From MSCAST requirements'!B2:B500,A40)</f>
        <v>1</v>
      </c>
    </row>
    <row r="41" customFormat="false" ht="15" hidden="false" customHeight="false" outlineLevel="0" collapsed="false">
      <c r="A41" s="6" t="s">
        <v>52</v>
      </c>
      <c r="B41" s="6" t="n">
        <f aca="false">COUNTIF('From MSCAST requirements'!B2:B500,A41)</f>
        <v>1</v>
      </c>
    </row>
    <row r="42" customFormat="false" ht="15" hidden="false" customHeight="false" outlineLevel="0" collapsed="false">
      <c r="A42" s="6" t="s">
        <v>53</v>
      </c>
      <c r="B42" s="6" t="n">
        <f aca="false">COUNTIF('From MSCAST requirements'!B2:B500,A42)</f>
        <v>4</v>
      </c>
    </row>
    <row r="43" customFormat="false" ht="15" hidden="false" customHeight="false" outlineLevel="0" collapsed="false">
      <c r="A43" s="6" t="s">
        <v>54</v>
      </c>
      <c r="B43" s="6" t="n">
        <f aca="false">COUNTIF('From MSCAST requirements'!B2:B500,A43)</f>
        <v>4</v>
      </c>
    </row>
    <row r="44" customFormat="false" ht="15" hidden="false" customHeight="false" outlineLevel="0" collapsed="false">
      <c r="A44" s="6" t="s">
        <v>55</v>
      </c>
      <c r="B44" s="6" t="n">
        <f aca="false">COUNTIF('From MSCAST requirements'!B2:B500,A44)</f>
        <v>3</v>
      </c>
    </row>
    <row r="45" customFormat="false" ht="15" hidden="false" customHeight="false" outlineLevel="0" collapsed="false">
      <c r="A45" s="6" t="s">
        <v>56</v>
      </c>
      <c r="B45" s="6" t="n">
        <f aca="false">COUNTIF('From MSCAST requirements'!B2:B500,A45)</f>
        <v>1</v>
      </c>
    </row>
    <row r="46" customFormat="false" ht="15" hidden="false" customHeight="false" outlineLevel="0" collapsed="false">
      <c r="A46" s="6" t="s">
        <v>57</v>
      </c>
      <c r="B46" s="6" t="n">
        <f aca="false">COUNTIF('From MSCAST requirements'!B2:B500,A46)</f>
        <v>1</v>
      </c>
    </row>
    <row r="47" customFormat="false" ht="15" hidden="false" customHeight="false" outlineLevel="0" collapsed="false">
      <c r="A47" s="6" t="s">
        <v>58</v>
      </c>
      <c r="B47" s="6" t="n">
        <f aca="false">COUNTIF('From MSCAST requirements'!B2:B500,A47)</f>
        <v>4</v>
      </c>
    </row>
    <row r="48" customFormat="false" ht="15" hidden="false" customHeight="false" outlineLevel="0" collapsed="false">
      <c r="A48" s="6" t="s">
        <v>59</v>
      </c>
      <c r="B48" s="6" t="n">
        <f aca="false">COUNTIF('From MSCAST requirements'!B2:B500,A48)</f>
        <v>1</v>
      </c>
    </row>
    <row r="49" customFormat="false" ht="15" hidden="false" customHeight="false" outlineLevel="0" collapsed="false">
      <c r="A49" s="5" t="s">
        <v>22</v>
      </c>
      <c r="B49" s="5" t="n">
        <f aca="false">SUM(B29:B48)</f>
        <v>97</v>
      </c>
    </row>
    <row r="51" customFormat="false" ht="15" hidden="false" customHeight="false" outlineLevel="0" collapsed="false">
      <c r="A51" s="5" t="s">
        <v>60</v>
      </c>
    </row>
    <row r="52" customFormat="false" ht="15" hidden="false" customHeight="false" outlineLevel="0" collapsed="false">
      <c r="A52" s="5" t="s">
        <v>61</v>
      </c>
      <c r="B52" s="5" t="s">
        <v>25</v>
      </c>
    </row>
    <row r="53" customFormat="false" ht="15" hidden="false" customHeight="false" outlineLevel="0" collapsed="false">
      <c r="A53" s="6" t="s">
        <v>62</v>
      </c>
      <c r="B53" s="6" t="n">
        <f aca="false">COUNTIF('Added to make it work'!B2:B500,A53)</f>
        <v>6</v>
      </c>
    </row>
    <row r="54" customFormat="false" ht="15" hidden="false" customHeight="false" outlineLevel="0" collapsed="false">
      <c r="A54" s="6" t="s">
        <v>63</v>
      </c>
      <c r="B54" s="6" t="n">
        <f aca="false">COUNTIF('Added to make it work'!B2:B500,A54)</f>
        <v>7</v>
      </c>
    </row>
    <row r="55" customFormat="false" ht="15" hidden="false" customHeight="false" outlineLevel="0" collapsed="false">
      <c r="A55" s="6" t="s">
        <v>64</v>
      </c>
      <c r="B55" s="6" t="n">
        <f aca="false">COUNTIF('Added to make it work'!B2:B500,A55)</f>
        <v>4</v>
      </c>
    </row>
    <row r="56" customFormat="false" ht="15" hidden="false" customHeight="false" outlineLevel="0" collapsed="false">
      <c r="A56" s="6" t="s">
        <v>65</v>
      </c>
      <c r="B56" s="6" t="n">
        <f aca="false">COUNTIF('Added to make it work'!B2:B500,A56)</f>
        <v>5</v>
      </c>
    </row>
    <row r="57" customFormat="false" ht="15" hidden="false" customHeight="false" outlineLevel="0" collapsed="false">
      <c r="A57" s="6" t="s">
        <v>66</v>
      </c>
      <c r="B57" s="6" t="n">
        <f aca="false">COUNTIF('Added to make it work'!B2:B500,A57)</f>
        <v>1</v>
      </c>
    </row>
    <row r="59" customFormat="false" ht="15" hidden="false" customHeight="false" outlineLevel="0" collapsed="false">
      <c r="A59" s="5" t="s">
        <v>67</v>
      </c>
    </row>
    <row r="60" customFormat="false" ht="15" hidden="false" customHeight="false" outlineLevel="0" collapsed="false">
      <c r="A60" s="5" t="s">
        <v>24</v>
      </c>
      <c r="B60" s="5" t="s">
        <v>25</v>
      </c>
    </row>
    <row r="61" customFormat="false" ht="15" hidden="false" customHeight="false" outlineLevel="0" collapsed="false">
      <c r="A61" s="6" t="s">
        <v>68</v>
      </c>
      <c r="B61" s="6" t="n">
        <f aca="false">COUNTIF('Open Questions'!H2:H500,A61)</f>
        <v>21</v>
      </c>
    </row>
    <row r="62" customFormat="false" ht="15" hidden="false" customHeight="false" outlineLevel="0" collapsed="false">
      <c r="A62" s="6" t="s">
        <v>69</v>
      </c>
      <c r="B62" s="6" t="n">
        <f aca="false">COUNTIF('Open Questions'!H2:H500,A62)</f>
        <v>0</v>
      </c>
    </row>
    <row r="63" customFormat="false" ht="15" hidden="false" customHeight="false" outlineLevel="0" collapsed="false">
      <c r="A63" s="6" t="s">
        <v>70</v>
      </c>
      <c r="B63" s="6" t="n">
        <f aca="false">COUNTIF('Open Questions'!H2:H500,A63)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44"/>
    <col collapsed="false" customWidth="true" hidden="false" outlineLevel="0" max="4" min="4" style="0" width="9"/>
    <col collapsed="false" customWidth="true" hidden="false" outlineLevel="0" max="5" min="5" style="0" width="48"/>
    <col collapsed="false" customWidth="true" hidden="false" outlineLevel="0" max="6" min="6" style="0" width="16"/>
    <col collapsed="false" customWidth="true" hidden="false" outlineLevel="0" max="7" min="7" style="0" width="12"/>
    <col collapsed="false" customWidth="true" hidden="false" outlineLevel="0" max="8" min="8" style="0" width="7"/>
    <col collapsed="false" customWidth="true" hidden="false" outlineLevel="0" max="9" min="9" style="0" width="6"/>
    <col collapsed="false" customWidth="true" hidden="false" outlineLevel="0" max="10" min="10" style="0" width="16"/>
    <col collapsed="false" customWidth="true" hidden="false" outlineLevel="0" max="11" min="11" style="0" width="48"/>
    <col collapsed="false" customWidth="true" hidden="false" outlineLevel="0" max="12" min="12" style="0" width="30"/>
    <col collapsed="false" customWidth="true" hidden="false" outlineLevel="0" max="13" min="13" style="0" width="10"/>
    <col collapsed="false" customWidth="true" hidden="false" outlineLevel="0" max="14" min="14" style="0" width="12"/>
    <col collapsed="false" customWidth="true" hidden="false" outlineLevel="0" max="15" min="15" style="0" width="16"/>
  </cols>
  <sheetData>
    <row r="1" customFormat="false" ht="35.05" hidden="false" customHeight="false" outlineLevel="0" collapsed="false">
      <c r="A1" s="8" t="s">
        <v>71</v>
      </c>
      <c r="B1" s="8" t="s">
        <v>39</v>
      </c>
      <c r="C1" s="8" t="s">
        <v>72</v>
      </c>
      <c r="D1" s="8" t="s">
        <v>73</v>
      </c>
      <c r="E1" s="8" t="s">
        <v>74</v>
      </c>
      <c r="F1" s="8" t="s">
        <v>75</v>
      </c>
      <c r="G1" s="8" t="s">
        <v>31</v>
      </c>
      <c r="H1" s="8" t="s">
        <v>76</v>
      </c>
      <c r="I1" s="8" t="s">
        <v>77</v>
      </c>
      <c r="J1" s="8" t="s">
        <v>24</v>
      </c>
      <c r="K1" s="8" t="s">
        <v>78</v>
      </c>
      <c r="L1" s="8" t="s">
        <v>79</v>
      </c>
      <c r="M1" s="8" t="s">
        <v>37</v>
      </c>
      <c r="N1" s="8" t="s">
        <v>80</v>
      </c>
      <c r="O1" s="8" t="s">
        <v>17</v>
      </c>
    </row>
    <row r="2" customFormat="false" ht="23.85" hidden="false" customHeight="false" outlineLevel="0" collapsed="false">
      <c r="A2" s="9" t="s">
        <v>81</v>
      </c>
      <c r="B2" s="9" t="s">
        <v>40</v>
      </c>
      <c r="C2" s="9" t="s">
        <v>82</v>
      </c>
      <c r="D2" s="9" t="s">
        <v>83</v>
      </c>
      <c r="E2" s="9" t="s">
        <v>84</v>
      </c>
      <c r="F2" s="9" t="s">
        <v>32</v>
      </c>
      <c r="G2" s="9" t="s">
        <v>32</v>
      </c>
      <c r="H2" s="9" t="s">
        <v>85</v>
      </c>
      <c r="I2" s="9" t="s">
        <v>86</v>
      </c>
      <c r="J2" s="9" t="s">
        <v>26</v>
      </c>
      <c r="K2" s="9" t="s">
        <v>87</v>
      </c>
      <c r="L2" s="9"/>
      <c r="M2" s="9"/>
      <c r="N2" s="9" t="s">
        <v>88</v>
      </c>
      <c r="O2" s="9" t="s">
        <v>89</v>
      </c>
    </row>
    <row r="3" customFormat="false" ht="35.05" hidden="false" customHeight="false" outlineLevel="0" collapsed="false">
      <c r="A3" s="9" t="s">
        <v>90</v>
      </c>
      <c r="B3" s="9" t="s">
        <v>40</v>
      </c>
      <c r="C3" s="9" t="s">
        <v>91</v>
      </c>
      <c r="D3" s="9" t="s">
        <v>92</v>
      </c>
      <c r="E3" s="9" t="s">
        <v>93</v>
      </c>
      <c r="F3" s="9" t="s">
        <v>94</v>
      </c>
      <c r="G3" s="9" t="s">
        <v>34</v>
      </c>
      <c r="H3" s="9" t="s">
        <v>85</v>
      </c>
      <c r="I3" s="9" t="s">
        <v>95</v>
      </c>
      <c r="J3" s="9" t="s">
        <v>26</v>
      </c>
      <c r="K3" s="9" t="s">
        <v>96</v>
      </c>
      <c r="L3" s="9"/>
      <c r="M3" s="9" t="s">
        <v>97</v>
      </c>
      <c r="N3" s="9" t="s">
        <v>98</v>
      </c>
      <c r="O3" s="9" t="s">
        <v>89</v>
      </c>
    </row>
    <row r="4" customFormat="false" ht="35.05" hidden="false" customHeight="false" outlineLevel="0" collapsed="false">
      <c r="A4" s="9" t="s">
        <v>99</v>
      </c>
      <c r="B4" s="9" t="s">
        <v>40</v>
      </c>
      <c r="C4" s="9" t="s">
        <v>100</v>
      </c>
      <c r="D4" s="9" t="s">
        <v>83</v>
      </c>
      <c r="E4" s="9" t="s">
        <v>101</v>
      </c>
      <c r="F4" s="9" t="s">
        <v>32</v>
      </c>
      <c r="G4" s="9" t="s">
        <v>32</v>
      </c>
      <c r="H4" s="9" t="s">
        <v>85</v>
      </c>
      <c r="I4" s="9" t="s">
        <v>86</v>
      </c>
      <c r="J4" s="9" t="s">
        <v>26</v>
      </c>
      <c r="K4" s="9" t="s">
        <v>102</v>
      </c>
      <c r="L4" s="9"/>
      <c r="M4" s="9"/>
      <c r="N4" s="9" t="s">
        <v>88</v>
      </c>
      <c r="O4" s="9" t="s">
        <v>89</v>
      </c>
    </row>
    <row r="5" customFormat="false" ht="35.05" hidden="false" customHeight="false" outlineLevel="0" collapsed="false">
      <c r="A5" s="9" t="s">
        <v>103</v>
      </c>
      <c r="B5" s="9" t="s">
        <v>40</v>
      </c>
      <c r="C5" s="9" t="s">
        <v>104</v>
      </c>
      <c r="D5" s="9" t="s">
        <v>92</v>
      </c>
      <c r="E5" s="9" t="s">
        <v>105</v>
      </c>
      <c r="F5" s="9" t="s">
        <v>33</v>
      </c>
      <c r="G5" s="9" t="s">
        <v>33</v>
      </c>
      <c r="H5" s="9" t="s">
        <v>85</v>
      </c>
      <c r="I5" s="9" t="s">
        <v>86</v>
      </c>
      <c r="J5" s="9" t="s">
        <v>26</v>
      </c>
      <c r="K5" s="9" t="s">
        <v>106</v>
      </c>
      <c r="L5" s="9"/>
      <c r="M5" s="9"/>
      <c r="N5" s="9" t="s">
        <v>107</v>
      </c>
      <c r="O5" s="9" t="s">
        <v>89</v>
      </c>
    </row>
    <row r="6" customFormat="false" ht="23.85" hidden="false" customHeight="false" outlineLevel="0" collapsed="false">
      <c r="A6" s="9" t="s">
        <v>108</v>
      </c>
      <c r="B6" s="9" t="s">
        <v>40</v>
      </c>
      <c r="C6" s="9" t="s">
        <v>109</v>
      </c>
      <c r="D6" s="9" t="s">
        <v>83</v>
      </c>
      <c r="E6" s="9" t="s">
        <v>110</v>
      </c>
      <c r="F6" s="9" t="s">
        <v>32</v>
      </c>
      <c r="G6" s="9" t="s">
        <v>32</v>
      </c>
      <c r="H6" s="9" t="s">
        <v>85</v>
      </c>
      <c r="I6" s="9" t="s">
        <v>86</v>
      </c>
      <c r="J6" s="9" t="s">
        <v>26</v>
      </c>
      <c r="K6" s="9" t="s">
        <v>111</v>
      </c>
      <c r="L6" s="9"/>
      <c r="M6" s="9"/>
      <c r="N6" s="9" t="s">
        <v>88</v>
      </c>
      <c r="O6" s="9" t="s">
        <v>89</v>
      </c>
    </row>
    <row r="7" customFormat="false" ht="23.85" hidden="false" customHeight="false" outlineLevel="0" collapsed="false">
      <c r="A7" s="9" t="s">
        <v>112</v>
      </c>
      <c r="B7" s="9" t="s">
        <v>41</v>
      </c>
      <c r="C7" s="9" t="s">
        <v>113</v>
      </c>
      <c r="D7" s="9" t="s">
        <v>83</v>
      </c>
      <c r="E7" s="9" t="s">
        <v>114</v>
      </c>
      <c r="F7" s="9" t="s">
        <v>33</v>
      </c>
      <c r="G7" s="9" t="s">
        <v>33</v>
      </c>
      <c r="H7" s="9" t="s">
        <v>85</v>
      </c>
      <c r="I7" s="9" t="s">
        <v>86</v>
      </c>
      <c r="J7" s="9" t="s">
        <v>26</v>
      </c>
      <c r="K7" s="9" t="s">
        <v>115</v>
      </c>
      <c r="L7" s="9"/>
      <c r="M7" s="9"/>
      <c r="N7" s="9" t="s">
        <v>88</v>
      </c>
      <c r="O7" s="9" t="s">
        <v>89</v>
      </c>
    </row>
    <row r="8" customFormat="false" ht="23.85" hidden="false" customHeight="false" outlineLevel="0" collapsed="false">
      <c r="A8" s="9" t="s">
        <v>116</v>
      </c>
      <c r="B8" s="9" t="s">
        <v>41</v>
      </c>
      <c r="C8" s="9" t="s">
        <v>117</v>
      </c>
      <c r="D8" s="9" t="s">
        <v>83</v>
      </c>
      <c r="E8" s="9" t="s">
        <v>118</v>
      </c>
      <c r="F8" s="9" t="s">
        <v>32</v>
      </c>
      <c r="G8" s="9" t="s">
        <v>32</v>
      </c>
      <c r="H8" s="9" t="s">
        <v>85</v>
      </c>
      <c r="I8" s="9" t="s">
        <v>86</v>
      </c>
      <c r="J8" s="9" t="s">
        <v>26</v>
      </c>
      <c r="K8" s="9" t="s">
        <v>119</v>
      </c>
      <c r="L8" s="9"/>
      <c r="M8" s="9"/>
      <c r="N8" s="9" t="s">
        <v>88</v>
      </c>
      <c r="O8" s="9" t="s">
        <v>89</v>
      </c>
    </row>
    <row r="9" customFormat="false" ht="35.05" hidden="false" customHeight="false" outlineLevel="0" collapsed="false">
      <c r="A9" s="9" t="s">
        <v>120</v>
      </c>
      <c r="B9" s="9" t="s">
        <v>41</v>
      </c>
      <c r="C9" s="9" t="s">
        <v>121</v>
      </c>
      <c r="D9" s="9" t="s">
        <v>92</v>
      </c>
      <c r="E9" s="9" t="s">
        <v>122</v>
      </c>
      <c r="F9" s="9" t="s">
        <v>123</v>
      </c>
      <c r="G9" s="9" t="s">
        <v>33</v>
      </c>
      <c r="H9" s="9" t="s">
        <v>124</v>
      </c>
      <c r="I9" s="9" t="s">
        <v>125</v>
      </c>
      <c r="J9" s="9" t="s">
        <v>26</v>
      </c>
      <c r="K9" s="9" t="s">
        <v>126</v>
      </c>
      <c r="L9" s="9"/>
      <c r="M9" s="9"/>
      <c r="N9" s="9" t="s">
        <v>107</v>
      </c>
      <c r="O9" s="9" t="s">
        <v>89</v>
      </c>
    </row>
    <row r="10" customFormat="false" ht="23.85" hidden="false" customHeight="false" outlineLevel="0" collapsed="false">
      <c r="A10" s="9" t="s">
        <v>127</v>
      </c>
      <c r="B10" s="9" t="s">
        <v>41</v>
      </c>
      <c r="C10" s="9" t="s">
        <v>128</v>
      </c>
      <c r="D10" s="9" t="s">
        <v>83</v>
      </c>
      <c r="E10" s="9" t="s">
        <v>129</v>
      </c>
      <c r="F10" s="9" t="s">
        <v>130</v>
      </c>
      <c r="G10" s="9" t="s">
        <v>34</v>
      </c>
      <c r="H10" s="9" t="s">
        <v>85</v>
      </c>
      <c r="I10" s="9" t="s">
        <v>125</v>
      </c>
      <c r="J10" s="9" t="s">
        <v>26</v>
      </c>
      <c r="K10" s="9" t="s">
        <v>131</v>
      </c>
      <c r="L10" s="9"/>
      <c r="M10" s="9"/>
      <c r="N10" s="9" t="s">
        <v>98</v>
      </c>
      <c r="O10" s="9" t="s">
        <v>89</v>
      </c>
    </row>
    <row r="11" customFormat="false" ht="23.85" hidden="false" customHeight="false" outlineLevel="0" collapsed="false">
      <c r="A11" s="9" t="s">
        <v>132</v>
      </c>
      <c r="B11" s="9" t="s">
        <v>41</v>
      </c>
      <c r="C11" s="9" t="s">
        <v>133</v>
      </c>
      <c r="D11" s="9" t="s">
        <v>83</v>
      </c>
      <c r="E11" s="9" t="s">
        <v>134</v>
      </c>
      <c r="F11" s="9" t="s">
        <v>32</v>
      </c>
      <c r="G11" s="9" t="s">
        <v>32</v>
      </c>
      <c r="H11" s="9" t="s">
        <v>135</v>
      </c>
      <c r="I11" s="9" t="s">
        <v>86</v>
      </c>
      <c r="J11" s="9" t="s">
        <v>26</v>
      </c>
      <c r="K11" s="9" t="s">
        <v>136</v>
      </c>
      <c r="L11" s="9"/>
      <c r="M11" s="9"/>
      <c r="N11" s="9" t="s">
        <v>88</v>
      </c>
      <c r="O11" s="9" t="s">
        <v>89</v>
      </c>
    </row>
    <row r="12" customFormat="false" ht="23.85" hidden="false" customHeight="false" outlineLevel="0" collapsed="false">
      <c r="A12" s="9" t="s">
        <v>137</v>
      </c>
      <c r="B12" s="9" t="s">
        <v>41</v>
      </c>
      <c r="C12" s="9" t="s">
        <v>138</v>
      </c>
      <c r="D12" s="9" t="s">
        <v>139</v>
      </c>
      <c r="E12" s="9" t="s">
        <v>140</v>
      </c>
      <c r="F12" s="9" t="s">
        <v>32</v>
      </c>
      <c r="G12" s="9" t="s">
        <v>32</v>
      </c>
      <c r="H12" s="9" t="s">
        <v>141</v>
      </c>
      <c r="I12" s="9" t="s">
        <v>86</v>
      </c>
      <c r="J12" s="9" t="s">
        <v>26</v>
      </c>
      <c r="K12" s="9" t="s">
        <v>142</v>
      </c>
      <c r="L12" s="9"/>
      <c r="M12" s="9"/>
      <c r="N12" s="9" t="s">
        <v>107</v>
      </c>
      <c r="O12" s="9" t="s">
        <v>89</v>
      </c>
    </row>
    <row r="13" customFormat="false" ht="35.05" hidden="false" customHeight="false" outlineLevel="0" collapsed="false">
      <c r="A13" s="9" t="s">
        <v>143</v>
      </c>
      <c r="B13" s="9" t="s">
        <v>41</v>
      </c>
      <c r="C13" s="9" t="s">
        <v>144</v>
      </c>
      <c r="D13" s="9" t="s">
        <v>139</v>
      </c>
      <c r="E13" s="9" t="s">
        <v>145</v>
      </c>
      <c r="F13" s="9" t="s">
        <v>146</v>
      </c>
      <c r="G13" s="9" t="s">
        <v>34</v>
      </c>
      <c r="H13" s="9" t="s">
        <v>141</v>
      </c>
      <c r="I13" s="9" t="s">
        <v>86</v>
      </c>
      <c r="J13" s="9" t="s">
        <v>26</v>
      </c>
      <c r="K13" s="9" t="s">
        <v>147</v>
      </c>
      <c r="L13" s="9"/>
      <c r="M13" s="9" t="s">
        <v>148</v>
      </c>
      <c r="N13" s="9" t="s">
        <v>98</v>
      </c>
      <c r="O13" s="9" t="s">
        <v>89</v>
      </c>
    </row>
    <row r="14" customFormat="false" ht="35.05" hidden="false" customHeight="false" outlineLevel="0" collapsed="false">
      <c r="A14" s="9" t="s">
        <v>149</v>
      </c>
      <c r="B14" s="9" t="s">
        <v>41</v>
      </c>
      <c r="C14" s="9" t="s">
        <v>150</v>
      </c>
      <c r="D14" s="9" t="s">
        <v>151</v>
      </c>
      <c r="E14" s="9" t="s">
        <v>152</v>
      </c>
      <c r="F14" s="9" t="s">
        <v>146</v>
      </c>
      <c r="G14" s="9" t="s">
        <v>34</v>
      </c>
      <c r="H14" s="9" t="s">
        <v>141</v>
      </c>
      <c r="I14" s="9" t="s">
        <v>86</v>
      </c>
      <c r="J14" s="9" t="s">
        <v>26</v>
      </c>
      <c r="K14" s="9" t="s">
        <v>153</v>
      </c>
      <c r="L14" s="9"/>
      <c r="M14" s="9"/>
      <c r="N14" s="9" t="s">
        <v>154</v>
      </c>
      <c r="O14" s="9" t="s">
        <v>89</v>
      </c>
    </row>
    <row r="15" customFormat="false" ht="35.05" hidden="false" customHeight="false" outlineLevel="0" collapsed="false">
      <c r="A15" s="9" t="s">
        <v>155</v>
      </c>
      <c r="B15" s="9" t="s">
        <v>41</v>
      </c>
      <c r="C15" s="9" t="s">
        <v>156</v>
      </c>
      <c r="D15" s="9" t="s">
        <v>139</v>
      </c>
      <c r="E15" s="9" t="s">
        <v>157</v>
      </c>
      <c r="F15" s="9" t="s">
        <v>33</v>
      </c>
      <c r="G15" s="9" t="s">
        <v>33</v>
      </c>
      <c r="H15" s="9" t="s">
        <v>158</v>
      </c>
      <c r="I15" s="9" t="s">
        <v>86</v>
      </c>
      <c r="J15" s="9" t="s">
        <v>26</v>
      </c>
      <c r="K15" s="9" t="s">
        <v>159</v>
      </c>
      <c r="L15" s="9"/>
      <c r="M15" s="9" t="s">
        <v>160</v>
      </c>
      <c r="N15" s="9" t="s">
        <v>98</v>
      </c>
      <c r="O15" s="9" t="s">
        <v>89</v>
      </c>
    </row>
    <row r="16" customFormat="false" ht="57.45" hidden="false" customHeight="false" outlineLevel="0" collapsed="false">
      <c r="A16" s="9" t="s">
        <v>161</v>
      </c>
      <c r="B16" s="9" t="s">
        <v>42</v>
      </c>
      <c r="C16" s="9" t="s">
        <v>162</v>
      </c>
      <c r="D16" s="9" t="s">
        <v>151</v>
      </c>
      <c r="E16" s="9" t="s">
        <v>163</v>
      </c>
      <c r="F16" s="9" t="s">
        <v>33</v>
      </c>
      <c r="G16" s="9" t="s">
        <v>33</v>
      </c>
      <c r="H16" s="9" t="s">
        <v>85</v>
      </c>
      <c r="I16" s="9" t="s">
        <v>86</v>
      </c>
      <c r="J16" s="9" t="s">
        <v>26</v>
      </c>
      <c r="K16" s="9" t="s">
        <v>164</v>
      </c>
      <c r="L16" s="9"/>
      <c r="M16" s="9" t="s">
        <v>165</v>
      </c>
      <c r="N16" s="9" t="s">
        <v>107</v>
      </c>
      <c r="O16" s="9" t="s">
        <v>89</v>
      </c>
    </row>
    <row r="17" customFormat="false" ht="23.85" hidden="false" customHeight="false" outlineLevel="0" collapsed="false">
      <c r="A17" s="9" t="s">
        <v>166</v>
      </c>
      <c r="B17" s="9" t="s">
        <v>42</v>
      </c>
      <c r="C17" s="9" t="s">
        <v>167</v>
      </c>
      <c r="D17" s="9" t="s">
        <v>151</v>
      </c>
      <c r="E17" s="9" t="s">
        <v>168</v>
      </c>
      <c r="F17" s="9" t="s">
        <v>33</v>
      </c>
      <c r="G17" s="9" t="s">
        <v>33</v>
      </c>
      <c r="H17" s="9" t="s">
        <v>169</v>
      </c>
      <c r="I17" s="9" t="s">
        <v>86</v>
      </c>
      <c r="J17" s="9" t="s">
        <v>26</v>
      </c>
      <c r="K17" s="9" t="s">
        <v>170</v>
      </c>
      <c r="L17" s="9"/>
      <c r="M17" s="9"/>
      <c r="N17" s="9" t="s">
        <v>107</v>
      </c>
      <c r="O17" s="9" t="s">
        <v>89</v>
      </c>
    </row>
    <row r="18" customFormat="false" ht="35.05" hidden="false" customHeight="false" outlineLevel="0" collapsed="false">
      <c r="A18" s="9" t="s">
        <v>171</v>
      </c>
      <c r="B18" s="9" t="s">
        <v>42</v>
      </c>
      <c r="C18" s="9" t="s">
        <v>172</v>
      </c>
      <c r="D18" s="9" t="s">
        <v>151</v>
      </c>
      <c r="E18" s="9" t="s">
        <v>173</v>
      </c>
      <c r="F18" s="9" t="s">
        <v>174</v>
      </c>
      <c r="G18" s="9" t="s">
        <v>34</v>
      </c>
      <c r="H18" s="9" t="s">
        <v>169</v>
      </c>
      <c r="I18" s="9" t="s">
        <v>125</v>
      </c>
      <c r="J18" s="9" t="s">
        <v>26</v>
      </c>
      <c r="K18" s="9" t="s">
        <v>175</v>
      </c>
      <c r="L18" s="9"/>
      <c r="M18" s="9" t="s">
        <v>176</v>
      </c>
      <c r="N18" s="9" t="s">
        <v>98</v>
      </c>
      <c r="O18" s="9" t="s">
        <v>89</v>
      </c>
    </row>
    <row r="19" customFormat="false" ht="23.85" hidden="false" customHeight="false" outlineLevel="0" collapsed="false">
      <c r="A19" s="9" t="s">
        <v>177</v>
      </c>
      <c r="B19" s="9" t="s">
        <v>42</v>
      </c>
      <c r="C19" s="9" t="s">
        <v>178</v>
      </c>
      <c r="D19" s="9" t="s">
        <v>179</v>
      </c>
      <c r="E19" s="9" t="s">
        <v>180</v>
      </c>
      <c r="F19" s="9" t="s">
        <v>146</v>
      </c>
      <c r="G19" s="9" t="s">
        <v>34</v>
      </c>
      <c r="H19" s="9" t="s">
        <v>141</v>
      </c>
      <c r="I19" s="9" t="s">
        <v>125</v>
      </c>
      <c r="J19" s="9" t="s">
        <v>26</v>
      </c>
      <c r="K19" s="9" t="s">
        <v>181</v>
      </c>
      <c r="L19" s="9"/>
      <c r="M19" s="9" t="s">
        <v>182</v>
      </c>
      <c r="N19" s="9" t="s">
        <v>88</v>
      </c>
      <c r="O19" s="9" t="s">
        <v>89</v>
      </c>
    </row>
    <row r="20" customFormat="false" ht="23.85" hidden="false" customHeight="false" outlineLevel="0" collapsed="false">
      <c r="A20" s="9" t="s">
        <v>183</v>
      </c>
      <c r="B20" s="9" t="s">
        <v>42</v>
      </c>
      <c r="C20" s="9" t="s">
        <v>184</v>
      </c>
      <c r="D20" s="9" t="s">
        <v>139</v>
      </c>
      <c r="E20" s="9" t="s">
        <v>185</v>
      </c>
      <c r="F20" s="9" t="s">
        <v>186</v>
      </c>
      <c r="G20" s="9" t="s">
        <v>32</v>
      </c>
      <c r="H20" s="9" t="s">
        <v>187</v>
      </c>
      <c r="I20" s="9" t="s">
        <v>86</v>
      </c>
      <c r="J20" s="9" t="s">
        <v>26</v>
      </c>
      <c r="K20" s="9" t="s">
        <v>188</v>
      </c>
      <c r="L20" s="9"/>
      <c r="M20" s="9"/>
      <c r="N20" s="9" t="s">
        <v>88</v>
      </c>
      <c r="O20" s="9" t="s">
        <v>89</v>
      </c>
    </row>
    <row r="21" customFormat="false" ht="35.05" hidden="false" customHeight="false" outlineLevel="0" collapsed="false">
      <c r="A21" s="9" t="s">
        <v>189</v>
      </c>
      <c r="B21" s="9" t="s">
        <v>42</v>
      </c>
      <c r="C21" s="9" t="s">
        <v>190</v>
      </c>
      <c r="D21" s="9" t="s">
        <v>139</v>
      </c>
      <c r="E21" s="9" t="s">
        <v>191</v>
      </c>
      <c r="F21" s="9" t="s">
        <v>192</v>
      </c>
      <c r="G21" s="9" t="s">
        <v>34</v>
      </c>
      <c r="H21" s="9" t="s">
        <v>193</v>
      </c>
      <c r="I21" s="9" t="s">
        <v>125</v>
      </c>
      <c r="J21" s="9" t="s">
        <v>26</v>
      </c>
      <c r="K21" s="9" t="s">
        <v>194</v>
      </c>
      <c r="L21" s="9"/>
      <c r="M21" s="9" t="s">
        <v>195</v>
      </c>
      <c r="N21" s="9" t="s">
        <v>98</v>
      </c>
      <c r="O21" s="9" t="s">
        <v>89</v>
      </c>
    </row>
    <row r="22" customFormat="false" ht="23.85" hidden="false" customHeight="false" outlineLevel="0" collapsed="false">
      <c r="A22" s="9" t="s">
        <v>196</v>
      </c>
      <c r="B22" s="9" t="s">
        <v>42</v>
      </c>
      <c r="C22" s="9" t="s">
        <v>197</v>
      </c>
      <c r="D22" s="9" t="s">
        <v>198</v>
      </c>
      <c r="E22" s="9" t="s">
        <v>199</v>
      </c>
      <c r="F22" s="9" t="s">
        <v>32</v>
      </c>
      <c r="G22" s="9" t="s">
        <v>32</v>
      </c>
      <c r="H22" s="9" t="s">
        <v>200</v>
      </c>
      <c r="I22" s="9" t="s">
        <v>86</v>
      </c>
      <c r="J22" s="9" t="s">
        <v>26</v>
      </c>
      <c r="K22" s="9" t="s">
        <v>201</v>
      </c>
      <c r="L22" s="9"/>
      <c r="M22" s="9"/>
      <c r="N22" s="9" t="s">
        <v>88</v>
      </c>
      <c r="O22" s="9" t="s">
        <v>89</v>
      </c>
    </row>
    <row r="23" customFormat="false" ht="23.85" hidden="false" customHeight="false" outlineLevel="0" collapsed="false">
      <c r="A23" s="9" t="s">
        <v>202</v>
      </c>
      <c r="B23" s="9" t="s">
        <v>42</v>
      </c>
      <c r="C23" s="9" t="s">
        <v>203</v>
      </c>
      <c r="D23" s="9" t="s">
        <v>139</v>
      </c>
      <c r="E23" s="9" t="s">
        <v>204</v>
      </c>
      <c r="F23" s="9" t="s">
        <v>205</v>
      </c>
      <c r="G23" s="9" t="s">
        <v>32</v>
      </c>
      <c r="H23" s="9" t="s">
        <v>169</v>
      </c>
      <c r="I23" s="9" t="s">
        <v>86</v>
      </c>
      <c r="J23" s="9" t="s">
        <v>26</v>
      </c>
      <c r="K23" s="9" t="s">
        <v>206</v>
      </c>
      <c r="L23" s="9"/>
      <c r="M23" s="9"/>
      <c r="N23" s="9" t="s">
        <v>88</v>
      </c>
      <c r="O23" s="9" t="s">
        <v>89</v>
      </c>
    </row>
    <row r="24" customFormat="false" ht="23.85" hidden="false" customHeight="false" outlineLevel="0" collapsed="false">
      <c r="A24" s="9" t="s">
        <v>207</v>
      </c>
      <c r="B24" s="9" t="s">
        <v>42</v>
      </c>
      <c r="C24" s="9" t="s">
        <v>208</v>
      </c>
      <c r="D24" s="9" t="s">
        <v>139</v>
      </c>
      <c r="E24" s="9" t="s">
        <v>209</v>
      </c>
      <c r="F24" s="9" t="s">
        <v>205</v>
      </c>
      <c r="G24" s="9" t="s">
        <v>32</v>
      </c>
      <c r="H24" s="9" t="s">
        <v>141</v>
      </c>
      <c r="I24" s="9" t="s">
        <v>86</v>
      </c>
      <c r="J24" s="9" t="s">
        <v>26</v>
      </c>
      <c r="K24" s="9" t="s">
        <v>210</v>
      </c>
      <c r="L24" s="9"/>
      <c r="M24" s="9"/>
      <c r="N24" s="9" t="s">
        <v>107</v>
      </c>
      <c r="O24" s="9" t="s">
        <v>89</v>
      </c>
    </row>
    <row r="25" customFormat="false" ht="23.85" hidden="false" customHeight="false" outlineLevel="0" collapsed="false">
      <c r="A25" s="9" t="s">
        <v>211</v>
      </c>
      <c r="B25" s="9" t="s">
        <v>42</v>
      </c>
      <c r="C25" s="9" t="s">
        <v>212</v>
      </c>
      <c r="D25" s="9" t="s">
        <v>139</v>
      </c>
      <c r="E25" s="9" t="s">
        <v>213</v>
      </c>
      <c r="F25" s="9" t="s">
        <v>33</v>
      </c>
      <c r="G25" s="9" t="s">
        <v>33</v>
      </c>
      <c r="H25" s="9" t="s">
        <v>214</v>
      </c>
      <c r="I25" s="9" t="s">
        <v>86</v>
      </c>
      <c r="J25" s="9" t="s">
        <v>26</v>
      </c>
      <c r="K25" s="9" t="s">
        <v>215</v>
      </c>
      <c r="L25" s="9"/>
      <c r="M25" s="9"/>
      <c r="N25" s="9" t="s">
        <v>88</v>
      </c>
      <c r="O25" s="9" t="s">
        <v>89</v>
      </c>
    </row>
    <row r="26" customFormat="false" ht="23.85" hidden="false" customHeight="false" outlineLevel="0" collapsed="false">
      <c r="A26" s="9" t="s">
        <v>216</v>
      </c>
      <c r="B26" s="9" t="s">
        <v>42</v>
      </c>
      <c r="C26" s="9" t="s">
        <v>217</v>
      </c>
      <c r="D26" s="9" t="s">
        <v>139</v>
      </c>
      <c r="E26" s="9" t="s">
        <v>218</v>
      </c>
      <c r="F26" s="9" t="s">
        <v>32</v>
      </c>
      <c r="G26" s="9" t="s">
        <v>32</v>
      </c>
      <c r="H26" s="9" t="s">
        <v>85</v>
      </c>
      <c r="I26" s="9" t="s">
        <v>86</v>
      </c>
      <c r="J26" s="9" t="s">
        <v>26</v>
      </c>
      <c r="K26" s="9" t="s">
        <v>219</v>
      </c>
      <c r="L26" s="9"/>
      <c r="M26" s="9"/>
      <c r="N26" s="9" t="s">
        <v>88</v>
      </c>
      <c r="O26" s="9" t="s">
        <v>89</v>
      </c>
    </row>
    <row r="27" customFormat="false" ht="35.05" hidden="false" customHeight="false" outlineLevel="0" collapsed="false">
      <c r="A27" s="9" t="s">
        <v>220</v>
      </c>
      <c r="B27" s="9" t="s">
        <v>42</v>
      </c>
      <c r="C27" s="9" t="s">
        <v>221</v>
      </c>
      <c r="D27" s="9" t="s">
        <v>139</v>
      </c>
      <c r="E27" s="9" t="s">
        <v>222</v>
      </c>
      <c r="F27" s="9" t="s">
        <v>223</v>
      </c>
      <c r="G27" s="9" t="s">
        <v>32</v>
      </c>
      <c r="H27" s="9" t="s">
        <v>224</v>
      </c>
      <c r="I27" s="9" t="s">
        <v>86</v>
      </c>
      <c r="J27" s="9" t="s">
        <v>26</v>
      </c>
      <c r="K27" s="9" t="s">
        <v>225</v>
      </c>
      <c r="L27" s="9"/>
      <c r="M27" s="9"/>
      <c r="N27" s="9" t="s">
        <v>88</v>
      </c>
      <c r="O27" s="9" t="s">
        <v>89</v>
      </c>
    </row>
    <row r="28" customFormat="false" ht="23.85" hidden="false" customHeight="false" outlineLevel="0" collapsed="false">
      <c r="A28" s="9" t="s">
        <v>226</v>
      </c>
      <c r="B28" s="9" t="s">
        <v>42</v>
      </c>
      <c r="C28" s="9" t="s">
        <v>227</v>
      </c>
      <c r="D28" s="9" t="s">
        <v>139</v>
      </c>
      <c r="E28" s="9" t="s">
        <v>228</v>
      </c>
      <c r="F28" s="9" t="s">
        <v>229</v>
      </c>
      <c r="G28" s="9" t="s">
        <v>34</v>
      </c>
      <c r="H28" s="9" t="s">
        <v>230</v>
      </c>
      <c r="I28" s="9" t="s">
        <v>125</v>
      </c>
      <c r="J28" s="9" t="s">
        <v>26</v>
      </c>
      <c r="K28" s="9" t="s">
        <v>231</v>
      </c>
      <c r="L28" s="9"/>
      <c r="M28" s="9" t="s">
        <v>232</v>
      </c>
      <c r="N28" s="9" t="s">
        <v>98</v>
      </c>
      <c r="O28" s="9" t="s">
        <v>89</v>
      </c>
    </row>
    <row r="29" customFormat="false" ht="23.85" hidden="false" customHeight="false" outlineLevel="0" collapsed="false">
      <c r="A29" s="9" t="s">
        <v>233</v>
      </c>
      <c r="B29" s="9" t="s">
        <v>42</v>
      </c>
      <c r="C29" s="9" t="s">
        <v>234</v>
      </c>
      <c r="D29" s="9" t="s">
        <v>139</v>
      </c>
      <c r="E29" s="9" t="s">
        <v>235</v>
      </c>
      <c r="F29" s="9" t="s">
        <v>229</v>
      </c>
      <c r="G29" s="9" t="s">
        <v>34</v>
      </c>
      <c r="H29" s="9" t="s">
        <v>135</v>
      </c>
      <c r="I29" s="9" t="s">
        <v>125</v>
      </c>
      <c r="J29" s="9" t="s">
        <v>26</v>
      </c>
      <c r="K29" s="9" t="s">
        <v>236</v>
      </c>
      <c r="L29" s="9"/>
      <c r="M29" s="9"/>
      <c r="N29" s="9" t="s">
        <v>98</v>
      </c>
      <c r="O29" s="9" t="s">
        <v>89</v>
      </c>
    </row>
    <row r="30" customFormat="false" ht="23.85" hidden="false" customHeight="false" outlineLevel="0" collapsed="false">
      <c r="A30" s="9" t="s">
        <v>237</v>
      </c>
      <c r="B30" s="9" t="s">
        <v>42</v>
      </c>
      <c r="C30" s="9" t="s">
        <v>238</v>
      </c>
      <c r="D30" s="9" t="s">
        <v>139</v>
      </c>
      <c r="E30" s="9" t="s">
        <v>239</v>
      </c>
      <c r="F30" s="9" t="s">
        <v>32</v>
      </c>
      <c r="G30" s="9" t="s">
        <v>32</v>
      </c>
      <c r="H30" s="9" t="s">
        <v>85</v>
      </c>
      <c r="I30" s="9" t="s">
        <v>86</v>
      </c>
      <c r="J30" s="9" t="s">
        <v>26</v>
      </c>
      <c r="K30" s="9" t="s">
        <v>240</v>
      </c>
      <c r="L30" s="9"/>
      <c r="M30" s="9"/>
      <c r="N30" s="9" t="s">
        <v>88</v>
      </c>
      <c r="O30" s="9" t="s">
        <v>89</v>
      </c>
    </row>
    <row r="31" customFormat="false" ht="23.85" hidden="false" customHeight="false" outlineLevel="0" collapsed="false">
      <c r="A31" s="9" t="s">
        <v>241</v>
      </c>
      <c r="B31" s="9" t="s">
        <v>42</v>
      </c>
      <c r="C31" s="9" t="s">
        <v>242</v>
      </c>
      <c r="D31" s="9" t="s">
        <v>139</v>
      </c>
      <c r="E31" s="9" t="s">
        <v>243</v>
      </c>
      <c r="F31" s="9" t="s">
        <v>205</v>
      </c>
      <c r="G31" s="9" t="s">
        <v>32</v>
      </c>
      <c r="H31" s="9" t="s">
        <v>187</v>
      </c>
      <c r="I31" s="9" t="s">
        <v>86</v>
      </c>
      <c r="J31" s="9" t="s">
        <v>26</v>
      </c>
      <c r="K31" s="9" t="s">
        <v>244</v>
      </c>
      <c r="L31" s="9"/>
      <c r="M31" s="9"/>
      <c r="N31" s="9" t="s">
        <v>107</v>
      </c>
      <c r="O31" s="9" t="s">
        <v>89</v>
      </c>
    </row>
    <row r="32" customFormat="false" ht="23.85" hidden="false" customHeight="false" outlineLevel="0" collapsed="false">
      <c r="A32" s="9" t="s">
        <v>245</v>
      </c>
      <c r="B32" s="9" t="s">
        <v>42</v>
      </c>
      <c r="C32" s="9" t="s">
        <v>246</v>
      </c>
      <c r="D32" s="9" t="s">
        <v>139</v>
      </c>
      <c r="E32" s="9" t="s">
        <v>247</v>
      </c>
      <c r="F32" s="9" t="s">
        <v>248</v>
      </c>
      <c r="G32" s="9" t="s">
        <v>33</v>
      </c>
      <c r="H32" s="9" t="s">
        <v>141</v>
      </c>
      <c r="I32" s="9" t="s">
        <v>86</v>
      </c>
      <c r="J32" s="9" t="s">
        <v>26</v>
      </c>
      <c r="K32" s="9" t="s">
        <v>249</v>
      </c>
      <c r="L32" s="9"/>
      <c r="M32" s="9"/>
      <c r="N32" s="9" t="s">
        <v>98</v>
      </c>
      <c r="O32" s="9" t="s">
        <v>89</v>
      </c>
    </row>
    <row r="33" customFormat="false" ht="23.85" hidden="false" customHeight="false" outlineLevel="0" collapsed="false">
      <c r="A33" s="9" t="s">
        <v>250</v>
      </c>
      <c r="B33" s="9" t="s">
        <v>42</v>
      </c>
      <c r="C33" s="9" t="s">
        <v>251</v>
      </c>
      <c r="D33" s="9" t="s">
        <v>139</v>
      </c>
      <c r="E33" s="9" t="s">
        <v>252</v>
      </c>
      <c r="F33" s="9" t="s">
        <v>34</v>
      </c>
      <c r="G33" s="9" t="s">
        <v>34</v>
      </c>
      <c r="H33" s="9" t="s">
        <v>200</v>
      </c>
      <c r="I33" s="9" t="s">
        <v>125</v>
      </c>
      <c r="J33" s="9" t="s">
        <v>26</v>
      </c>
      <c r="K33" s="9" t="s">
        <v>253</v>
      </c>
      <c r="L33" s="9"/>
      <c r="M33" s="9"/>
      <c r="N33" s="9" t="s">
        <v>254</v>
      </c>
      <c r="O33" s="9" t="s">
        <v>89</v>
      </c>
    </row>
    <row r="34" customFormat="false" ht="23.85" hidden="false" customHeight="false" outlineLevel="0" collapsed="false">
      <c r="A34" s="9" t="s">
        <v>255</v>
      </c>
      <c r="B34" s="9" t="s">
        <v>42</v>
      </c>
      <c r="C34" s="9" t="s">
        <v>256</v>
      </c>
      <c r="D34" s="9" t="s">
        <v>139</v>
      </c>
      <c r="E34" s="9" t="s">
        <v>257</v>
      </c>
      <c r="F34" s="9" t="s">
        <v>229</v>
      </c>
      <c r="G34" s="9" t="s">
        <v>34</v>
      </c>
      <c r="H34" s="9" t="s">
        <v>200</v>
      </c>
      <c r="I34" s="9" t="s">
        <v>125</v>
      </c>
      <c r="J34" s="9" t="s">
        <v>26</v>
      </c>
      <c r="K34" s="9" t="s">
        <v>258</v>
      </c>
      <c r="L34" s="9"/>
      <c r="M34" s="9"/>
      <c r="N34" s="9" t="s">
        <v>98</v>
      </c>
      <c r="O34" s="9" t="s">
        <v>89</v>
      </c>
    </row>
    <row r="35" customFormat="false" ht="23.85" hidden="false" customHeight="false" outlineLevel="0" collapsed="false">
      <c r="A35" s="9" t="s">
        <v>259</v>
      </c>
      <c r="B35" s="9" t="s">
        <v>43</v>
      </c>
      <c r="C35" s="9" t="s">
        <v>260</v>
      </c>
      <c r="D35" s="9" t="s">
        <v>261</v>
      </c>
      <c r="E35" s="9" t="s">
        <v>262</v>
      </c>
      <c r="F35" s="9" t="s">
        <v>33</v>
      </c>
      <c r="G35" s="9" t="s">
        <v>33</v>
      </c>
      <c r="H35" s="9" t="s">
        <v>85</v>
      </c>
      <c r="I35" s="9" t="s">
        <v>86</v>
      </c>
      <c r="J35" s="9" t="s">
        <v>26</v>
      </c>
      <c r="K35" s="9" t="s">
        <v>263</v>
      </c>
      <c r="L35" s="9"/>
      <c r="M35" s="9"/>
      <c r="N35" s="9" t="s">
        <v>107</v>
      </c>
      <c r="O35" s="9" t="s">
        <v>89</v>
      </c>
    </row>
    <row r="36" customFormat="false" ht="68.65" hidden="false" customHeight="false" outlineLevel="0" collapsed="false">
      <c r="A36" s="9" t="s">
        <v>264</v>
      </c>
      <c r="B36" s="9" t="s">
        <v>43</v>
      </c>
      <c r="C36" s="9" t="s">
        <v>265</v>
      </c>
      <c r="D36" s="9" t="s">
        <v>266</v>
      </c>
      <c r="E36" s="9" t="s">
        <v>267</v>
      </c>
      <c r="F36" s="9" t="s">
        <v>268</v>
      </c>
      <c r="G36" s="9" t="s">
        <v>34</v>
      </c>
      <c r="H36" s="9" t="s">
        <v>85</v>
      </c>
      <c r="I36" s="9" t="s">
        <v>95</v>
      </c>
      <c r="J36" s="9" t="s">
        <v>26</v>
      </c>
      <c r="K36" s="9" t="s">
        <v>269</v>
      </c>
      <c r="L36" s="9"/>
      <c r="M36" s="9"/>
      <c r="N36" s="9" t="s">
        <v>88</v>
      </c>
      <c r="O36" s="9" t="s">
        <v>89</v>
      </c>
    </row>
    <row r="37" customFormat="false" ht="23.85" hidden="false" customHeight="false" outlineLevel="0" collapsed="false">
      <c r="A37" s="9" t="s">
        <v>270</v>
      </c>
      <c r="B37" s="9" t="s">
        <v>43</v>
      </c>
      <c r="C37" s="9" t="s">
        <v>271</v>
      </c>
      <c r="D37" s="9" t="s">
        <v>266</v>
      </c>
      <c r="E37" s="9" t="s">
        <v>272</v>
      </c>
      <c r="F37" s="9" t="s">
        <v>273</v>
      </c>
      <c r="G37" s="9" t="s">
        <v>33</v>
      </c>
      <c r="H37" s="9" t="s">
        <v>85</v>
      </c>
      <c r="I37" s="9" t="s">
        <v>125</v>
      </c>
      <c r="J37" s="9" t="s">
        <v>26</v>
      </c>
      <c r="K37" s="9" t="s">
        <v>274</v>
      </c>
      <c r="L37" s="9"/>
      <c r="M37" s="9"/>
      <c r="N37" s="9" t="s">
        <v>88</v>
      </c>
      <c r="O37" s="9" t="s">
        <v>89</v>
      </c>
    </row>
    <row r="38" customFormat="false" ht="23.85" hidden="false" customHeight="false" outlineLevel="0" collapsed="false">
      <c r="A38" s="9" t="s">
        <v>275</v>
      </c>
      <c r="B38" s="9" t="s">
        <v>43</v>
      </c>
      <c r="C38" s="9" t="s">
        <v>276</v>
      </c>
      <c r="D38" s="9" t="s">
        <v>266</v>
      </c>
      <c r="E38" s="9" t="s">
        <v>277</v>
      </c>
      <c r="F38" s="9" t="s">
        <v>32</v>
      </c>
      <c r="G38" s="9" t="s">
        <v>32</v>
      </c>
      <c r="H38" s="9" t="s">
        <v>278</v>
      </c>
      <c r="I38" s="9" t="s">
        <v>86</v>
      </c>
      <c r="J38" s="9" t="s">
        <v>26</v>
      </c>
      <c r="K38" s="9" t="s">
        <v>279</v>
      </c>
      <c r="L38" s="9"/>
      <c r="M38" s="9" t="s">
        <v>280</v>
      </c>
      <c r="N38" s="9" t="s">
        <v>88</v>
      </c>
      <c r="O38" s="9" t="s">
        <v>89</v>
      </c>
    </row>
    <row r="39" customFormat="false" ht="35.05" hidden="false" customHeight="false" outlineLevel="0" collapsed="false">
      <c r="A39" s="9" t="s">
        <v>281</v>
      </c>
      <c r="B39" s="9" t="s">
        <v>43</v>
      </c>
      <c r="C39" s="9" t="s">
        <v>282</v>
      </c>
      <c r="D39" s="9" t="s">
        <v>261</v>
      </c>
      <c r="E39" s="9" t="s">
        <v>283</v>
      </c>
      <c r="F39" s="9" t="s">
        <v>33</v>
      </c>
      <c r="G39" s="9" t="s">
        <v>33</v>
      </c>
      <c r="H39" s="9" t="s">
        <v>169</v>
      </c>
      <c r="I39" s="9" t="s">
        <v>86</v>
      </c>
      <c r="J39" s="9" t="s">
        <v>26</v>
      </c>
      <c r="K39" s="9" t="s">
        <v>284</v>
      </c>
      <c r="L39" s="9"/>
      <c r="M39" s="9"/>
      <c r="N39" s="9" t="s">
        <v>88</v>
      </c>
      <c r="O39" s="9" t="s">
        <v>89</v>
      </c>
    </row>
    <row r="40" customFormat="false" ht="35.05" hidden="false" customHeight="false" outlineLevel="0" collapsed="false">
      <c r="A40" s="9" t="s">
        <v>285</v>
      </c>
      <c r="B40" s="9" t="s">
        <v>43</v>
      </c>
      <c r="C40" s="9" t="s">
        <v>286</v>
      </c>
      <c r="D40" s="9" t="s">
        <v>287</v>
      </c>
      <c r="E40" s="9" t="s">
        <v>288</v>
      </c>
      <c r="F40" s="9" t="s">
        <v>289</v>
      </c>
      <c r="G40" s="9" t="s">
        <v>33</v>
      </c>
      <c r="H40" s="9" t="s">
        <v>85</v>
      </c>
      <c r="I40" s="9" t="s">
        <v>86</v>
      </c>
      <c r="J40" s="9" t="s">
        <v>26</v>
      </c>
      <c r="K40" s="9" t="s">
        <v>290</v>
      </c>
      <c r="L40" s="9"/>
      <c r="M40" s="9" t="s">
        <v>291</v>
      </c>
      <c r="N40" s="9" t="s">
        <v>292</v>
      </c>
      <c r="O40" s="9" t="s">
        <v>89</v>
      </c>
    </row>
    <row r="41" customFormat="false" ht="23.85" hidden="false" customHeight="false" outlineLevel="0" collapsed="false">
      <c r="A41" s="9" t="s">
        <v>293</v>
      </c>
      <c r="B41" s="9" t="s">
        <v>44</v>
      </c>
      <c r="C41" s="9" t="s">
        <v>294</v>
      </c>
      <c r="D41" s="9" t="s">
        <v>261</v>
      </c>
      <c r="E41" s="9" t="s">
        <v>295</v>
      </c>
      <c r="F41" s="9" t="s">
        <v>33</v>
      </c>
      <c r="G41" s="9" t="s">
        <v>33</v>
      </c>
      <c r="H41" s="9" t="s">
        <v>169</v>
      </c>
      <c r="I41" s="9" t="s">
        <v>86</v>
      </c>
      <c r="J41" s="9" t="s">
        <v>26</v>
      </c>
      <c r="K41" s="9" t="s">
        <v>296</v>
      </c>
      <c r="L41" s="9"/>
      <c r="M41" s="9"/>
      <c r="N41" s="9" t="s">
        <v>107</v>
      </c>
      <c r="O41" s="9" t="s">
        <v>89</v>
      </c>
    </row>
    <row r="42" customFormat="false" ht="23.85" hidden="false" customHeight="false" outlineLevel="0" collapsed="false">
      <c r="A42" s="9" t="s">
        <v>297</v>
      </c>
      <c r="B42" s="9" t="s">
        <v>44</v>
      </c>
      <c r="C42" s="9" t="s">
        <v>298</v>
      </c>
      <c r="D42" s="9" t="s">
        <v>266</v>
      </c>
      <c r="E42" s="9" t="s">
        <v>299</v>
      </c>
      <c r="F42" s="9" t="s">
        <v>32</v>
      </c>
      <c r="G42" s="9" t="s">
        <v>32</v>
      </c>
      <c r="H42" s="9" t="s">
        <v>169</v>
      </c>
      <c r="I42" s="9" t="s">
        <v>86</v>
      </c>
      <c r="J42" s="9" t="s">
        <v>26</v>
      </c>
      <c r="K42" s="9" t="s">
        <v>300</v>
      </c>
      <c r="L42" s="9"/>
      <c r="M42" s="9"/>
      <c r="N42" s="9" t="s">
        <v>88</v>
      </c>
      <c r="O42" s="9" t="s">
        <v>89</v>
      </c>
    </row>
    <row r="43" customFormat="false" ht="23.85" hidden="false" customHeight="false" outlineLevel="0" collapsed="false">
      <c r="A43" s="9" t="s">
        <v>301</v>
      </c>
      <c r="B43" s="9" t="s">
        <v>44</v>
      </c>
      <c r="C43" s="9" t="s">
        <v>302</v>
      </c>
      <c r="D43" s="9" t="s">
        <v>266</v>
      </c>
      <c r="E43" s="9" t="s">
        <v>303</v>
      </c>
      <c r="F43" s="9" t="s">
        <v>304</v>
      </c>
      <c r="G43" s="9" t="s">
        <v>34</v>
      </c>
      <c r="H43" s="9" t="s">
        <v>169</v>
      </c>
      <c r="I43" s="9" t="s">
        <v>125</v>
      </c>
      <c r="J43" s="9" t="s">
        <v>26</v>
      </c>
      <c r="K43" s="9" t="s">
        <v>305</v>
      </c>
      <c r="L43" s="9"/>
      <c r="M43" s="9"/>
      <c r="N43" s="9" t="s">
        <v>88</v>
      </c>
      <c r="O43" s="9" t="s">
        <v>89</v>
      </c>
    </row>
    <row r="44" customFormat="false" ht="46.25" hidden="false" customHeight="false" outlineLevel="0" collapsed="false">
      <c r="A44" s="9" t="s">
        <v>306</v>
      </c>
      <c r="B44" s="9" t="s">
        <v>44</v>
      </c>
      <c r="C44" s="9" t="s">
        <v>307</v>
      </c>
      <c r="D44" s="9" t="s">
        <v>266</v>
      </c>
      <c r="E44" s="9" t="s">
        <v>308</v>
      </c>
      <c r="F44" s="9" t="s">
        <v>186</v>
      </c>
      <c r="G44" s="9" t="s">
        <v>32</v>
      </c>
      <c r="H44" s="9" t="s">
        <v>169</v>
      </c>
      <c r="I44" s="9" t="s">
        <v>86</v>
      </c>
      <c r="J44" s="9" t="s">
        <v>26</v>
      </c>
      <c r="K44" s="9" t="s">
        <v>309</v>
      </c>
      <c r="L44" s="9"/>
      <c r="M44" s="9" t="s">
        <v>280</v>
      </c>
      <c r="N44" s="9" t="s">
        <v>88</v>
      </c>
      <c r="O44" s="9" t="s">
        <v>89</v>
      </c>
    </row>
    <row r="45" customFormat="false" ht="23.85" hidden="false" customHeight="false" outlineLevel="0" collapsed="false">
      <c r="A45" s="9" t="s">
        <v>310</v>
      </c>
      <c r="B45" s="9" t="s">
        <v>44</v>
      </c>
      <c r="C45" s="9" t="s">
        <v>311</v>
      </c>
      <c r="D45" s="9" t="s">
        <v>266</v>
      </c>
      <c r="E45" s="9" t="s">
        <v>312</v>
      </c>
      <c r="F45" s="9" t="s">
        <v>313</v>
      </c>
      <c r="G45" s="9" t="s">
        <v>34</v>
      </c>
      <c r="H45" s="9" t="s">
        <v>169</v>
      </c>
      <c r="I45" s="9" t="s">
        <v>86</v>
      </c>
      <c r="J45" s="9" t="s">
        <v>26</v>
      </c>
      <c r="K45" s="9" t="s">
        <v>314</v>
      </c>
      <c r="L45" s="9"/>
      <c r="M45" s="9"/>
      <c r="N45" s="9" t="s">
        <v>107</v>
      </c>
      <c r="O45" s="9" t="s">
        <v>89</v>
      </c>
    </row>
    <row r="46" customFormat="false" ht="23.85" hidden="false" customHeight="false" outlineLevel="0" collapsed="false">
      <c r="A46" s="9" t="s">
        <v>315</v>
      </c>
      <c r="B46" s="9" t="s">
        <v>44</v>
      </c>
      <c r="C46" s="9" t="s">
        <v>316</v>
      </c>
      <c r="D46" s="9" t="s">
        <v>266</v>
      </c>
      <c r="E46" s="9" t="s">
        <v>317</v>
      </c>
      <c r="F46" s="9" t="s">
        <v>32</v>
      </c>
      <c r="G46" s="9" t="s">
        <v>32</v>
      </c>
      <c r="H46" s="9" t="s">
        <v>169</v>
      </c>
      <c r="I46" s="9" t="s">
        <v>86</v>
      </c>
      <c r="J46" s="9" t="s">
        <v>26</v>
      </c>
      <c r="K46" s="9" t="s">
        <v>318</v>
      </c>
      <c r="L46" s="9"/>
      <c r="M46" s="9"/>
      <c r="N46" s="9" t="s">
        <v>88</v>
      </c>
      <c r="O46" s="9" t="s">
        <v>89</v>
      </c>
    </row>
    <row r="47" customFormat="false" ht="23.85" hidden="false" customHeight="false" outlineLevel="0" collapsed="false">
      <c r="A47" s="9" t="s">
        <v>319</v>
      </c>
      <c r="B47" s="9" t="s">
        <v>44</v>
      </c>
      <c r="C47" s="9" t="s">
        <v>320</v>
      </c>
      <c r="D47" s="9" t="s">
        <v>266</v>
      </c>
      <c r="E47" s="9" t="s">
        <v>321</v>
      </c>
      <c r="F47" s="9" t="s">
        <v>322</v>
      </c>
      <c r="G47" s="9" t="s">
        <v>32</v>
      </c>
      <c r="H47" s="9" t="s">
        <v>169</v>
      </c>
      <c r="I47" s="9" t="s">
        <v>125</v>
      </c>
      <c r="J47" s="9" t="s">
        <v>26</v>
      </c>
      <c r="K47" s="9" t="s">
        <v>323</v>
      </c>
      <c r="L47" s="9"/>
      <c r="M47" s="9"/>
      <c r="N47" s="9" t="s">
        <v>88</v>
      </c>
      <c r="O47" s="9" t="s">
        <v>89</v>
      </c>
    </row>
    <row r="48" customFormat="false" ht="91" hidden="false" customHeight="false" outlineLevel="0" collapsed="false">
      <c r="A48" s="9" t="s">
        <v>324</v>
      </c>
      <c r="B48" s="9" t="s">
        <v>44</v>
      </c>
      <c r="C48" s="9" t="s">
        <v>325</v>
      </c>
      <c r="D48" s="9" t="s">
        <v>326</v>
      </c>
      <c r="E48" s="9" t="s">
        <v>327</v>
      </c>
      <c r="F48" s="9" t="s">
        <v>328</v>
      </c>
      <c r="G48" s="9" t="s">
        <v>34</v>
      </c>
      <c r="H48" s="9" t="s">
        <v>193</v>
      </c>
      <c r="I48" s="9" t="s">
        <v>125</v>
      </c>
      <c r="J48" s="9" t="s">
        <v>26</v>
      </c>
      <c r="K48" s="9" t="s">
        <v>329</v>
      </c>
      <c r="L48" s="9"/>
      <c r="M48" s="9" t="s">
        <v>330</v>
      </c>
      <c r="N48" s="9" t="s">
        <v>98</v>
      </c>
      <c r="O48" s="9" t="s">
        <v>89</v>
      </c>
    </row>
    <row r="49" customFormat="false" ht="23.85" hidden="false" customHeight="false" outlineLevel="0" collapsed="false">
      <c r="A49" s="9" t="s">
        <v>331</v>
      </c>
      <c r="B49" s="9" t="s">
        <v>44</v>
      </c>
      <c r="C49" s="9" t="s">
        <v>332</v>
      </c>
      <c r="D49" s="9" t="s">
        <v>266</v>
      </c>
      <c r="E49" s="9" t="s">
        <v>333</v>
      </c>
      <c r="F49" s="9" t="s">
        <v>334</v>
      </c>
      <c r="G49" s="9" t="s">
        <v>34</v>
      </c>
      <c r="H49" s="9" t="s">
        <v>169</v>
      </c>
      <c r="I49" s="9" t="s">
        <v>86</v>
      </c>
      <c r="J49" s="9" t="s">
        <v>26</v>
      </c>
      <c r="K49" s="9" t="s">
        <v>335</v>
      </c>
      <c r="L49" s="9"/>
      <c r="M49" s="9" t="s">
        <v>176</v>
      </c>
      <c r="N49" s="9" t="s">
        <v>98</v>
      </c>
      <c r="O49" s="9" t="s">
        <v>89</v>
      </c>
    </row>
    <row r="50" customFormat="false" ht="23.85" hidden="false" customHeight="false" outlineLevel="0" collapsed="false">
      <c r="A50" s="9" t="s">
        <v>336</v>
      </c>
      <c r="B50" s="9" t="s">
        <v>44</v>
      </c>
      <c r="C50" s="9" t="s">
        <v>337</v>
      </c>
      <c r="D50" s="9" t="s">
        <v>266</v>
      </c>
      <c r="E50" s="9" t="s">
        <v>338</v>
      </c>
      <c r="F50" s="9" t="s">
        <v>322</v>
      </c>
      <c r="G50" s="9" t="s">
        <v>32</v>
      </c>
      <c r="H50" s="9" t="s">
        <v>169</v>
      </c>
      <c r="I50" s="9" t="s">
        <v>86</v>
      </c>
      <c r="J50" s="9" t="s">
        <v>26</v>
      </c>
      <c r="K50" s="9" t="s">
        <v>339</v>
      </c>
      <c r="L50" s="9"/>
      <c r="M50" s="9"/>
      <c r="N50" s="9" t="s">
        <v>88</v>
      </c>
      <c r="O50" s="9" t="s">
        <v>89</v>
      </c>
    </row>
    <row r="51" customFormat="false" ht="23.85" hidden="false" customHeight="false" outlineLevel="0" collapsed="false">
      <c r="A51" s="9" t="s">
        <v>340</v>
      </c>
      <c r="B51" s="9" t="s">
        <v>44</v>
      </c>
      <c r="C51" s="9" t="s">
        <v>341</v>
      </c>
      <c r="D51" s="9" t="s">
        <v>266</v>
      </c>
      <c r="E51" s="9" t="s">
        <v>342</v>
      </c>
      <c r="F51" s="9" t="s">
        <v>146</v>
      </c>
      <c r="G51" s="9" t="s">
        <v>34</v>
      </c>
      <c r="H51" s="9" t="s">
        <v>141</v>
      </c>
      <c r="I51" s="9" t="s">
        <v>125</v>
      </c>
      <c r="J51" s="9" t="s">
        <v>26</v>
      </c>
      <c r="K51" s="9" t="s">
        <v>343</v>
      </c>
      <c r="L51" s="9"/>
      <c r="M51" s="9" t="s">
        <v>182</v>
      </c>
      <c r="N51" s="9" t="s">
        <v>88</v>
      </c>
      <c r="O51" s="9" t="s">
        <v>89</v>
      </c>
    </row>
    <row r="52" customFormat="false" ht="23.85" hidden="false" customHeight="false" outlineLevel="0" collapsed="false">
      <c r="A52" s="9" t="s">
        <v>344</v>
      </c>
      <c r="B52" s="9" t="s">
        <v>44</v>
      </c>
      <c r="C52" s="9" t="s">
        <v>345</v>
      </c>
      <c r="D52" s="9" t="s">
        <v>266</v>
      </c>
      <c r="E52" s="9" t="s">
        <v>346</v>
      </c>
      <c r="F52" s="9" t="s">
        <v>248</v>
      </c>
      <c r="G52" s="9" t="s">
        <v>33</v>
      </c>
      <c r="H52" s="9" t="s">
        <v>141</v>
      </c>
      <c r="I52" s="9" t="s">
        <v>86</v>
      </c>
      <c r="J52" s="9" t="s">
        <v>26</v>
      </c>
      <c r="K52" s="9" t="s">
        <v>347</v>
      </c>
      <c r="L52" s="9"/>
      <c r="M52" s="9" t="s">
        <v>182</v>
      </c>
      <c r="N52" s="9" t="s">
        <v>107</v>
      </c>
      <c r="O52" s="9" t="s">
        <v>89</v>
      </c>
    </row>
    <row r="53" customFormat="false" ht="35.05" hidden="false" customHeight="false" outlineLevel="0" collapsed="false">
      <c r="A53" s="9" t="s">
        <v>348</v>
      </c>
      <c r="B53" s="9" t="s">
        <v>44</v>
      </c>
      <c r="C53" s="9" t="s">
        <v>349</v>
      </c>
      <c r="D53" s="9" t="s">
        <v>350</v>
      </c>
      <c r="E53" s="9" t="s">
        <v>351</v>
      </c>
      <c r="F53" s="9" t="s">
        <v>352</v>
      </c>
      <c r="G53" s="9" t="s">
        <v>32</v>
      </c>
      <c r="H53" s="9" t="s">
        <v>141</v>
      </c>
      <c r="I53" s="9" t="s">
        <v>86</v>
      </c>
      <c r="J53" s="9" t="s">
        <v>26</v>
      </c>
      <c r="K53" s="9" t="s">
        <v>353</v>
      </c>
      <c r="L53" s="9"/>
      <c r="M53" s="9"/>
      <c r="N53" s="9" t="s">
        <v>98</v>
      </c>
      <c r="O53" s="9" t="s">
        <v>89</v>
      </c>
    </row>
    <row r="54" customFormat="false" ht="35.05" hidden="false" customHeight="false" outlineLevel="0" collapsed="false">
      <c r="A54" s="9" t="s">
        <v>354</v>
      </c>
      <c r="B54" s="9" t="s">
        <v>45</v>
      </c>
      <c r="C54" s="9" t="s">
        <v>355</v>
      </c>
      <c r="D54" s="9" t="s">
        <v>356</v>
      </c>
      <c r="E54" s="9" t="s">
        <v>357</v>
      </c>
      <c r="F54" s="9" t="s">
        <v>352</v>
      </c>
      <c r="G54" s="9" t="s">
        <v>32</v>
      </c>
      <c r="H54" s="9" t="s">
        <v>141</v>
      </c>
      <c r="I54" s="9" t="s">
        <v>86</v>
      </c>
      <c r="J54" s="9" t="s">
        <v>26</v>
      </c>
      <c r="K54" s="9" t="s">
        <v>358</v>
      </c>
      <c r="L54" s="9"/>
      <c r="M54" s="9"/>
      <c r="N54" s="9" t="s">
        <v>107</v>
      </c>
      <c r="O54" s="9" t="s">
        <v>89</v>
      </c>
    </row>
    <row r="55" customFormat="false" ht="23.85" hidden="false" customHeight="false" outlineLevel="0" collapsed="false">
      <c r="A55" s="9" t="s">
        <v>359</v>
      </c>
      <c r="B55" s="9" t="s">
        <v>46</v>
      </c>
      <c r="C55" s="9" t="s">
        <v>360</v>
      </c>
      <c r="D55" s="9" t="s">
        <v>361</v>
      </c>
      <c r="E55" s="9" t="s">
        <v>362</v>
      </c>
      <c r="F55" s="9" t="s">
        <v>352</v>
      </c>
      <c r="G55" s="9" t="s">
        <v>32</v>
      </c>
      <c r="H55" s="9" t="s">
        <v>187</v>
      </c>
      <c r="I55" s="9" t="s">
        <v>86</v>
      </c>
      <c r="J55" s="9" t="s">
        <v>26</v>
      </c>
      <c r="K55" s="9" t="s">
        <v>363</v>
      </c>
      <c r="L55" s="9"/>
      <c r="M55" s="9"/>
      <c r="N55" s="9" t="s">
        <v>107</v>
      </c>
      <c r="O55" s="9" t="s">
        <v>89</v>
      </c>
    </row>
    <row r="56" customFormat="false" ht="23.85" hidden="false" customHeight="false" outlineLevel="0" collapsed="false">
      <c r="A56" s="9" t="s">
        <v>364</v>
      </c>
      <c r="B56" s="9" t="s">
        <v>47</v>
      </c>
      <c r="C56" s="9" t="s">
        <v>365</v>
      </c>
      <c r="D56" s="9" t="s">
        <v>366</v>
      </c>
      <c r="E56" s="9" t="s">
        <v>367</v>
      </c>
      <c r="F56" s="9" t="s">
        <v>32</v>
      </c>
      <c r="G56" s="9" t="s">
        <v>32</v>
      </c>
      <c r="H56" s="9" t="s">
        <v>135</v>
      </c>
      <c r="I56" s="9" t="s">
        <v>86</v>
      </c>
      <c r="J56" s="9" t="s">
        <v>26</v>
      </c>
      <c r="K56" s="9" t="s">
        <v>368</v>
      </c>
      <c r="L56" s="9"/>
      <c r="M56" s="9"/>
      <c r="N56" s="9" t="s">
        <v>88</v>
      </c>
      <c r="O56" s="9" t="s">
        <v>89</v>
      </c>
    </row>
    <row r="57" customFormat="false" ht="23.85" hidden="false" customHeight="false" outlineLevel="0" collapsed="false">
      <c r="A57" s="9" t="s">
        <v>369</v>
      </c>
      <c r="B57" s="9" t="s">
        <v>47</v>
      </c>
      <c r="C57" s="9" t="s">
        <v>370</v>
      </c>
      <c r="D57" s="9" t="s">
        <v>371</v>
      </c>
      <c r="E57" s="9" t="s">
        <v>372</v>
      </c>
      <c r="F57" s="9" t="s">
        <v>32</v>
      </c>
      <c r="G57" s="9" t="s">
        <v>32</v>
      </c>
      <c r="H57" s="9" t="s">
        <v>135</v>
      </c>
      <c r="I57" s="9" t="s">
        <v>86</v>
      </c>
      <c r="J57" s="9" t="s">
        <v>26</v>
      </c>
      <c r="K57" s="9" t="s">
        <v>373</v>
      </c>
      <c r="L57" s="9"/>
      <c r="M57" s="9"/>
      <c r="N57" s="9" t="s">
        <v>88</v>
      </c>
      <c r="O57" s="9" t="s">
        <v>89</v>
      </c>
    </row>
    <row r="58" customFormat="false" ht="23.85" hidden="false" customHeight="false" outlineLevel="0" collapsed="false">
      <c r="A58" s="9" t="s">
        <v>374</v>
      </c>
      <c r="B58" s="9" t="s">
        <v>47</v>
      </c>
      <c r="C58" s="9" t="s">
        <v>375</v>
      </c>
      <c r="D58" s="9" t="s">
        <v>366</v>
      </c>
      <c r="E58" s="9" t="s">
        <v>376</v>
      </c>
      <c r="F58" s="9" t="s">
        <v>32</v>
      </c>
      <c r="G58" s="9" t="s">
        <v>32</v>
      </c>
      <c r="H58" s="9" t="s">
        <v>135</v>
      </c>
      <c r="I58" s="9" t="s">
        <v>86</v>
      </c>
      <c r="J58" s="9" t="s">
        <v>26</v>
      </c>
      <c r="K58" s="9" t="s">
        <v>377</v>
      </c>
      <c r="L58" s="9"/>
      <c r="M58" s="9"/>
      <c r="N58" s="9" t="s">
        <v>88</v>
      </c>
      <c r="O58" s="9" t="s">
        <v>89</v>
      </c>
    </row>
    <row r="59" customFormat="false" ht="23.85" hidden="false" customHeight="false" outlineLevel="0" collapsed="false">
      <c r="A59" s="9" t="s">
        <v>378</v>
      </c>
      <c r="B59" s="9" t="s">
        <v>47</v>
      </c>
      <c r="C59" s="9" t="s">
        <v>379</v>
      </c>
      <c r="D59" s="9" t="s">
        <v>366</v>
      </c>
      <c r="E59" s="9" t="s">
        <v>380</v>
      </c>
      <c r="F59" s="9" t="s">
        <v>32</v>
      </c>
      <c r="G59" s="9" t="s">
        <v>32</v>
      </c>
      <c r="H59" s="9" t="s">
        <v>135</v>
      </c>
      <c r="I59" s="9" t="s">
        <v>86</v>
      </c>
      <c r="J59" s="9" t="s">
        <v>26</v>
      </c>
      <c r="K59" s="9" t="s">
        <v>381</v>
      </c>
      <c r="L59" s="9"/>
      <c r="M59" s="9"/>
      <c r="N59" s="9" t="s">
        <v>88</v>
      </c>
      <c r="O59" s="9" t="s">
        <v>89</v>
      </c>
    </row>
    <row r="60" customFormat="false" ht="113.4" hidden="false" customHeight="false" outlineLevel="0" collapsed="false">
      <c r="A60" s="9" t="s">
        <v>382</v>
      </c>
      <c r="B60" s="9" t="s">
        <v>47</v>
      </c>
      <c r="C60" s="9" t="s">
        <v>383</v>
      </c>
      <c r="D60" s="9" t="s">
        <v>371</v>
      </c>
      <c r="E60" s="9" t="s">
        <v>384</v>
      </c>
      <c r="F60" s="9" t="s">
        <v>385</v>
      </c>
      <c r="G60" s="9" t="s">
        <v>34</v>
      </c>
      <c r="H60" s="9" t="s">
        <v>135</v>
      </c>
      <c r="I60" s="9" t="s">
        <v>86</v>
      </c>
      <c r="J60" s="9" t="s">
        <v>26</v>
      </c>
      <c r="K60" s="9" t="s">
        <v>386</v>
      </c>
      <c r="L60" s="9"/>
      <c r="M60" s="9" t="s">
        <v>330</v>
      </c>
      <c r="N60" s="9" t="s">
        <v>98</v>
      </c>
      <c r="O60" s="9" t="s">
        <v>89</v>
      </c>
    </row>
    <row r="61" customFormat="false" ht="23.85" hidden="false" customHeight="false" outlineLevel="0" collapsed="false">
      <c r="A61" s="9" t="s">
        <v>387</v>
      </c>
      <c r="B61" s="9" t="s">
        <v>47</v>
      </c>
      <c r="C61" s="9" t="s">
        <v>388</v>
      </c>
      <c r="D61" s="9" t="s">
        <v>366</v>
      </c>
      <c r="E61" s="9" t="s">
        <v>389</v>
      </c>
      <c r="F61" s="9" t="s">
        <v>32</v>
      </c>
      <c r="G61" s="9" t="s">
        <v>32</v>
      </c>
      <c r="H61" s="9" t="s">
        <v>135</v>
      </c>
      <c r="I61" s="9" t="s">
        <v>86</v>
      </c>
      <c r="J61" s="9" t="s">
        <v>26</v>
      </c>
      <c r="K61" s="9" t="s">
        <v>390</v>
      </c>
      <c r="L61" s="9"/>
      <c r="M61" s="9"/>
      <c r="N61" s="9" t="s">
        <v>88</v>
      </c>
      <c r="O61" s="9" t="s">
        <v>89</v>
      </c>
    </row>
    <row r="62" customFormat="false" ht="23.85" hidden="false" customHeight="false" outlineLevel="0" collapsed="false">
      <c r="A62" s="9" t="s">
        <v>391</v>
      </c>
      <c r="B62" s="9" t="s">
        <v>47</v>
      </c>
      <c r="C62" s="9" t="s">
        <v>392</v>
      </c>
      <c r="D62" s="9" t="s">
        <v>366</v>
      </c>
      <c r="E62" s="9" t="s">
        <v>393</v>
      </c>
      <c r="F62" s="9" t="s">
        <v>33</v>
      </c>
      <c r="G62" s="9" t="s">
        <v>33</v>
      </c>
      <c r="H62" s="9" t="s">
        <v>135</v>
      </c>
      <c r="I62" s="9" t="s">
        <v>86</v>
      </c>
      <c r="J62" s="9" t="s">
        <v>26</v>
      </c>
      <c r="K62" s="9" t="s">
        <v>394</v>
      </c>
      <c r="L62" s="9"/>
      <c r="M62" s="9"/>
      <c r="N62" s="9" t="s">
        <v>88</v>
      </c>
      <c r="O62" s="9" t="s">
        <v>89</v>
      </c>
    </row>
    <row r="63" customFormat="false" ht="23.85" hidden="false" customHeight="false" outlineLevel="0" collapsed="false">
      <c r="A63" s="9" t="s">
        <v>395</v>
      </c>
      <c r="B63" s="9" t="s">
        <v>47</v>
      </c>
      <c r="C63" s="9" t="s">
        <v>396</v>
      </c>
      <c r="D63" s="9" t="s">
        <v>366</v>
      </c>
      <c r="E63" s="9" t="s">
        <v>397</v>
      </c>
      <c r="F63" s="9" t="s">
        <v>32</v>
      </c>
      <c r="G63" s="9" t="s">
        <v>32</v>
      </c>
      <c r="H63" s="9" t="s">
        <v>135</v>
      </c>
      <c r="I63" s="9" t="s">
        <v>86</v>
      </c>
      <c r="J63" s="9" t="s">
        <v>26</v>
      </c>
      <c r="K63" s="9" t="s">
        <v>398</v>
      </c>
      <c r="L63" s="9"/>
      <c r="M63" s="9"/>
      <c r="N63" s="9" t="s">
        <v>88</v>
      </c>
      <c r="O63" s="9" t="s">
        <v>89</v>
      </c>
    </row>
    <row r="64" customFormat="false" ht="35.05" hidden="false" customHeight="false" outlineLevel="0" collapsed="false">
      <c r="A64" s="9" t="s">
        <v>399</v>
      </c>
      <c r="B64" s="9" t="s">
        <v>47</v>
      </c>
      <c r="C64" s="9" t="s">
        <v>400</v>
      </c>
      <c r="D64" s="9" t="s">
        <v>366</v>
      </c>
      <c r="E64" s="9" t="s">
        <v>401</v>
      </c>
      <c r="F64" s="9" t="s">
        <v>32</v>
      </c>
      <c r="G64" s="9" t="s">
        <v>32</v>
      </c>
      <c r="H64" s="9" t="s">
        <v>135</v>
      </c>
      <c r="I64" s="9" t="s">
        <v>86</v>
      </c>
      <c r="J64" s="9" t="s">
        <v>26</v>
      </c>
      <c r="K64" s="9" t="s">
        <v>402</v>
      </c>
      <c r="L64" s="9"/>
      <c r="M64" s="9"/>
      <c r="N64" s="9" t="s">
        <v>98</v>
      </c>
      <c r="O64" s="9" t="s">
        <v>89</v>
      </c>
    </row>
    <row r="65" customFormat="false" ht="23.85" hidden="false" customHeight="false" outlineLevel="0" collapsed="false">
      <c r="A65" s="9" t="s">
        <v>403</v>
      </c>
      <c r="B65" s="9" t="s">
        <v>47</v>
      </c>
      <c r="C65" s="9" t="s">
        <v>404</v>
      </c>
      <c r="D65" s="9" t="s">
        <v>366</v>
      </c>
      <c r="E65" s="9" t="s">
        <v>405</v>
      </c>
      <c r="F65" s="9" t="s">
        <v>32</v>
      </c>
      <c r="G65" s="9" t="s">
        <v>32</v>
      </c>
      <c r="H65" s="9" t="s">
        <v>406</v>
      </c>
      <c r="I65" s="9" t="s">
        <v>86</v>
      </c>
      <c r="J65" s="9" t="s">
        <v>26</v>
      </c>
      <c r="K65" s="9" t="s">
        <v>407</v>
      </c>
      <c r="L65" s="9"/>
      <c r="M65" s="9"/>
      <c r="N65" s="9" t="s">
        <v>88</v>
      </c>
      <c r="O65" s="9" t="s">
        <v>89</v>
      </c>
    </row>
    <row r="66" customFormat="false" ht="23.85" hidden="false" customHeight="false" outlineLevel="0" collapsed="false">
      <c r="A66" s="9" t="s">
        <v>408</v>
      </c>
      <c r="B66" s="9" t="s">
        <v>47</v>
      </c>
      <c r="C66" s="9" t="s">
        <v>409</v>
      </c>
      <c r="D66" s="9" t="s">
        <v>371</v>
      </c>
      <c r="E66" s="9" t="s">
        <v>410</v>
      </c>
      <c r="F66" s="9" t="s">
        <v>32</v>
      </c>
      <c r="G66" s="9" t="s">
        <v>32</v>
      </c>
      <c r="H66" s="9" t="s">
        <v>135</v>
      </c>
      <c r="I66" s="9" t="s">
        <v>86</v>
      </c>
      <c r="J66" s="9" t="s">
        <v>26</v>
      </c>
      <c r="K66" s="9" t="s">
        <v>411</v>
      </c>
      <c r="L66" s="9"/>
      <c r="M66" s="9"/>
      <c r="N66" s="9" t="s">
        <v>88</v>
      </c>
      <c r="O66" s="9" t="s">
        <v>89</v>
      </c>
    </row>
    <row r="67" customFormat="false" ht="23.85" hidden="false" customHeight="false" outlineLevel="0" collapsed="false">
      <c r="A67" s="9" t="s">
        <v>412</v>
      </c>
      <c r="B67" s="9" t="s">
        <v>47</v>
      </c>
      <c r="C67" s="9" t="s">
        <v>413</v>
      </c>
      <c r="D67" s="9" t="s">
        <v>371</v>
      </c>
      <c r="E67" s="9" t="s">
        <v>414</v>
      </c>
      <c r="F67" s="9" t="s">
        <v>32</v>
      </c>
      <c r="G67" s="9" t="s">
        <v>32</v>
      </c>
      <c r="H67" s="9" t="s">
        <v>135</v>
      </c>
      <c r="I67" s="9" t="s">
        <v>86</v>
      </c>
      <c r="J67" s="9" t="s">
        <v>26</v>
      </c>
      <c r="K67" s="9" t="s">
        <v>415</v>
      </c>
      <c r="L67" s="9"/>
      <c r="M67" s="9" t="s">
        <v>416</v>
      </c>
      <c r="N67" s="9" t="s">
        <v>88</v>
      </c>
      <c r="O67" s="9" t="s">
        <v>89</v>
      </c>
    </row>
    <row r="68" customFormat="false" ht="23.85" hidden="false" customHeight="false" outlineLevel="0" collapsed="false">
      <c r="A68" s="9" t="s">
        <v>417</v>
      </c>
      <c r="B68" s="9" t="s">
        <v>47</v>
      </c>
      <c r="C68" s="9" t="s">
        <v>418</v>
      </c>
      <c r="D68" s="9" t="s">
        <v>366</v>
      </c>
      <c r="E68" s="9" t="s">
        <v>419</v>
      </c>
      <c r="F68" s="9" t="s">
        <v>334</v>
      </c>
      <c r="G68" s="9" t="s">
        <v>34</v>
      </c>
      <c r="H68" s="9" t="s">
        <v>135</v>
      </c>
      <c r="I68" s="9" t="s">
        <v>125</v>
      </c>
      <c r="J68" s="9" t="s">
        <v>26</v>
      </c>
      <c r="K68" s="9" t="s">
        <v>420</v>
      </c>
      <c r="L68" s="9"/>
      <c r="M68" s="9" t="s">
        <v>232</v>
      </c>
      <c r="N68" s="9" t="s">
        <v>107</v>
      </c>
      <c r="O68" s="9" t="s">
        <v>89</v>
      </c>
    </row>
    <row r="69" customFormat="false" ht="68.65" hidden="false" customHeight="false" outlineLevel="0" collapsed="false">
      <c r="A69" s="9" t="s">
        <v>421</v>
      </c>
      <c r="B69" s="9" t="s">
        <v>47</v>
      </c>
      <c r="C69" s="9" t="s">
        <v>422</v>
      </c>
      <c r="D69" s="9" t="s">
        <v>366</v>
      </c>
      <c r="E69" s="9" t="s">
        <v>423</v>
      </c>
      <c r="F69" s="9" t="s">
        <v>32</v>
      </c>
      <c r="G69" s="9" t="s">
        <v>32</v>
      </c>
      <c r="H69" s="9" t="s">
        <v>135</v>
      </c>
      <c r="I69" s="9" t="s">
        <v>86</v>
      </c>
      <c r="J69" s="9" t="s">
        <v>27</v>
      </c>
      <c r="K69" s="9" t="s">
        <v>424</v>
      </c>
      <c r="L69" s="9" t="s">
        <v>425</v>
      </c>
      <c r="M69" s="9" t="s">
        <v>426</v>
      </c>
      <c r="N69" s="9" t="s">
        <v>88</v>
      </c>
      <c r="O69" s="9" t="s">
        <v>89</v>
      </c>
    </row>
    <row r="70" customFormat="false" ht="23.85" hidden="false" customHeight="false" outlineLevel="0" collapsed="false">
      <c r="A70" s="9" t="s">
        <v>427</v>
      </c>
      <c r="B70" s="9" t="s">
        <v>48</v>
      </c>
      <c r="C70" s="9" t="s">
        <v>428</v>
      </c>
      <c r="D70" s="9" t="s">
        <v>287</v>
      </c>
      <c r="E70" s="9" t="s">
        <v>429</v>
      </c>
      <c r="F70" s="9" t="s">
        <v>32</v>
      </c>
      <c r="G70" s="9" t="s">
        <v>32</v>
      </c>
      <c r="H70" s="9" t="s">
        <v>158</v>
      </c>
      <c r="I70" s="9" t="s">
        <v>125</v>
      </c>
      <c r="J70" s="9" t="s">
        <v>26</v>
      </c>
      <c r="K70" s="9" t="s">
        <v>430</v>
      </c>
      <c r="L70" s="9"/>
      <c r="M70" s="9" t="s">
        <v>431</v>
      </c>
      <c r="N70" s="9" t="s">
        <v>88</v>
      </c>
      <c r="O70" s="9" t="s">
        <v>89</v>
      </c>
    </row>
    <row r="71" customFormat="false" ht="57.45" hidden="false" customHeight="false" outlineLevel="0" collapsed="false">
      <c r="A71" s="9" t="s">
        <v>432</v>
      </c>
      <c r="B71" s="9" t="s">
        <v>48</v>
      </c>
      <c r="C71" s="9" t="s">
        <v>433</v>
      </c>
      <c r="D71" s="9" t="s">
        <v>287</v>
      </c>
      <c r="E71" s="9" t="s">
        <v>434</v>
      </c>
      <c r="F71" s="9" t="s">
        <v>37</v>
      </c>
      <c r="G71" s="9" t="s">
        <v>37</v>
      </c>
      <c r="H71" s="9" t="s">
        <v>214</v>
      </c>
      <c r="I71" s="9" t="s">
        <v>435</v>
      </c>
      <c r="J71" s="9" t="s">
        <v>27</v>
      </c>
      <c r="K71" s="9" t="s">
        <v>436</v>
      </c>
      <c r="L71" s="9" t="s">
        <v>437</v>
      </c>
      <c r="M71" s="9" t="s">
        <v>438</v>
      </c>
      <c r="N71" s="9" t="s">
        <v>98</v>
      </c>
      <c r="O71" s="9" t="s">
        <v>89</v>
      </c>
    </row>
    <row r="72" customFormat="false" ht="91" hidden="false" customHeight="false" outlineLevel="0" collapsed="false">
      <c r="A72" s="9" t="s">
        <v>439</v>
      </c>
      <c r="B72" s="9" t="s">
        <v>48</v>
      </c>
      <c r="C72" s="9" t="s">
        <v>440</v>
      </c>
      <c r="D72" s="9" t="s">
        <v>287</v>
      </c>
      <c r="E72" s="9" t="s">
        <v>441</v>
      </c>
      <c r="F72" s="9" t="s">
        <v>35</v>
      </c>
      <c r="G72" s="9" t="s">
        <v>35</v>
      </c>
      <c r="H72" s="9" t="s">
        <v>158</v>
      </c>
      <c r="I72" s="9" t="s">
        <v>125</v>
      </c>
      <c r="J72" s="9" t="s">
        <v>27</v>
      </c>
      <c r="K72" s="9" t="s">
        <v>442</v>
      </c>
      <c r="L72" s="9" t="s">
        <v>443</v>
      </c>
      <c r="M72" s="9" t="s">
        <v>444</v>
      </c>
      <c r="N72" s="9" t="s">
        <v>98</v>
      </c>
      <c r="O72" s="9" t="s">
        <v>89</v>
      </c>
    </row>
    <row r="73" customFormat="false" ht="23.85" hidden="false" customHeight="false" outlineLevel="0" collapsed="false">
      <c r="A73" s="9" t="s">
        <v>445</v>
      </c>
      <c r="B73" s="9" t="s">
        <v>48</v>
      </c>
      <c r="C73" s="9" t="s">
        <v>446</v>
      </c>
      <c r="D73" s="9" t="s">
        <v>287</v>
      </c>
      <c r="E73" s="9" t="s">
        <v>447</v>
      </c>
      <c r="F73" s="9" t="s">
        <v>32</v>
      </c>
      <c r="G73" s="9" t="s">
        <v>32</v>
      </c>
      <c r="H73" s="9" t="s">
        <v>85</v>
      </c>
      <c r="I73" s="9" t="s">
        <v>86</v>
      </c>
      <c r="J73" s="9" t="s">
        <v>26</v>
      </c>
      <c r="K73" s="9" t="s">
        <v>448</v>
      </c>
      <c r="L73" s="9"/>
      <c r="M73" s="9"/>
      <c r="N73" s="9" t="s">
        <v>88</v>
      </c>
      <c r="O73" s="9" t="s">
        <v>89</v>
      </c>
    </row>
    <row r="74" customFormat="false" ht="57.45" hidden="false" customHeight="false" outlineLevel="0" collapsed="false">
      <c r="A74" s="9" t="s">
        <v>449</v>
      </c>
      <c r="B74" s="9" t="s">
        <v>49</v>
      </c>
      <c r="C74" s="9" t="s">
        <v>450</v>
      </c>
      <c r="D74" s="9" t="s">
        <v>451</v>
      </c>
      <c r="E74" s="9" t="s">
        <v>452</v>
      </c>
      <c r="F74" s="9" t="s">
        <v>33</v>
      </c>
      <c r="G74" s="9" t="s">
        <v>33</v>
      </c>
      <c r="H74" s="9" t="s">
        <v>453</v>
      </c>
      <c r="I74" s="9" t="s">
        <v>86</v>
      </c>
      <c r="J74" s="9" t="s">
        <v>26</v>
      </c>
      <c r="K74" s="9" t="s">
        <v>454</v>
      </c>
      <c r="L74" s="9"/>
      <c r="M74" s="9"/>
      <c r="N74" s="9" t="s">
        <v>98</v>
      </c>
      <c r="O74" s="9" t="s">
        <v>89</v>
      </c>
    </row>
    <row r="75" customFormat="false" ht="35.05" hidden="false" customHeight="false" outlineLevel="0" collapsed="false">
      <c r="A75" s="9" t="s">
        <v>455</v>
      </c>
      <c r="B75" s="9" t="s">
        <v>49</v>
      </c>
      <c r="C75" s="9" t="s">
        <v>456</v>
      </c>
      <c r="D75" s="9" t="s">
        <v>451</v>
      </c>
      <c r="E75" s="9" t="s">
        <v>457</v>
      </c>
      <c r="F75" s="9" t="s">
        <v>32</v>
      </c>
      <c r="G75" s="9" t="s">
        <v>32</v>
      </c>
      <c r="H75" s="9" t="s">
        <v>214</v>
      </c>
      <c r="I75" s="9" t="s">
        <v>86</v>
      </c>
      <c r="J75" s="9" t="s">
        <v>26</v>
      </c>
      <c r="K75" s="9" t="s">
        <v>458</v>
      </c>
      <c r="L75" s="9"/>
      <c r="M75" s="9"/>
      <c r="N75" s="9" t="s">
        <v>459</v>
      </c>
      <c r="O75" s="9" t="s">
        <v>89</v>
      </c>
    </row>
    <row r="76" customFormat="false" ht="46.25" hidden="false" customHeight="false" outlineLevel="0" collapsed="false">
      <c r="A76" s="9" t="s">
        <v>460</v>
      </c>
      <c r="B76" s="9" t="s">
        <v>50</v>
      </c>
      <c r="C76" s="9" t="s">
        <v>461</v>
      </c>
      <c r="D76" s="9" t="s">
        <v>451</v>
      </c>
      <c r="E76" s="9" t="s">
        <v>462</v>
      </c>
      <c r="F76" s="9" t="s">
        <v>33</v>
      </c>
      <c r="G76" s="9" t="s">
        <v>33</v>
      </c>
      <c r="H76" s="9" t="s">
        <v>463</v>
      </c>
      <c r="I76" s="9" t="s">
        <v>86</v>
      </c>
      <c r="J76" s="9" t="s">
        <v>26</v>
      </c>
      <c r="K76" s="9" t="s">
        <v>464</v>
      </c>
      <c r="L76" s="9"/>
      <c r="M76" s="9"/>
      <c r="N76" s="9" t="s">
        <v>98</v>
      </c>
      <c r="O76" s="9" t="s">
        <v>89</v>
      </c>
    </row>
    <row r="77" customFormat="false" ht="35.05" hidden="false" customHeight="false" outlineLevel="0" collapsed="false">
      <c r="A77" s="9" t="s">
        <v>465</v>
      </c>
      <c r="B77" s="9" t="s">
        <v>50</v>
      </c>
      <c r="C77" s="9" t="s">
        <v>466</v>
      </c>
      <c r="D77" s="9" t="s">
        <v>451</v>
      </c>
      <c r="E77" s="9" t="s">
        <v>467</v>
      </c>
      <c r="F77" s="9" t="s">
        <v>32</v>
      </c>
      <c r="G77" s="9" t="s">
        <v>32</v>
      </c>
      <c r="H77" s="9" t="s">
        <v>468</v>
      </c>
      <c r="I77" s="9" t="s">
        <v>86</v>
      </c>
      <c r="J77" s="9" t="s">
        <v>26</v>
      </c>
      <c r="K77" s="9" t="s">
        <v>469</v>
      </c>
      <c r="L77" s="9"/>
      <c r="M77" s="9"/>
      <c r="N77" s="9" t="s">
        <v>88</v>
      </c>
      <c r="O77" s="9" t="s">
        <v>89</v>
      </c>
    </row>
    <row r="78" customFormat="false" ht="91" hidden="false" customHeight="false" outlineLevel="0" collapsed="false">
      <c r="A78" s="9" t="s">
        <v>470</v>
      </c>
      <c r="B78" s="9" t="s">
        <v>50</v>
      </c>
      <c r="C78" s="9" t="s">
        <v>471</v>
      </c>
      <c r="D78" s="9" t="s">
        <v>451</v>
      </c>
      <c r="E78" s="9" t="s">
        <v>472</v>
      </c>
      <c r="F78" s="9" t="s">
        <v>473</v>
      </c>
      <c r="G78" s="9" t="s">
        <v>33</v>
      </c>
      <c r="H78" s="9" t="s">
        <v>474</v>
      </c>
      <c r="I78" s="9" t="s">
        <v>125</v>
      </c>
      <c r="J78" s="9" t="s">
        <v>26</v>
      </c>
      <c r="K78" s="9" t="s">
        <v>475</v>
      </c>
      <c r="L78" s="9"/>
      <c r="M78" s="9" t="s">
        <v>476</v>
      </c>
      <c r="N78" s="9" t="s">
        <v>98</v>
      </c>
      <c r="O78" s="9" t="s">
        <v>89</v>
      </c>
    </row>
    <row r="79" customFormat="false" ht="46.25" hidden="false" customHeight="false" outlineLevel="0" collapsed="false">
      <c r="A79" s="9" t="s">
        <v>477</v>
      </c>
      <c r="B79" s="9" t="s">
        <v>51</v>
      </c>
      <c r="C79" s="9" t="s">
        <v>478</v>
      </c>
      <c r="D79" s="9" t="s">
        <v>479</v>
      </c>
      <c r="E79" s="9" t="s">
        <v>480</v>
      </c>
      <c r="F79" s="9" t="s">
        <v>481</v>
      </c>
      <c r="G79" s="9" t="s">
        <v>33</v>
      </c>
      <c r="H79" s="9" t="s">
        <v>453</v>
      </c>
      <c r="I79" s="9" t="s">
        <v>86</v>
      </c>
      <c r="J79" s="9" t="s">
        <v>26</v>
      </c>
      <c r="K79" s="9" t="s">
        <v>482</v>
      </c>
      <c r="L79" s="9"/>
      <c r="M79" s="9" t="s">
        <v>483</v>
      </c>
      <c r="N79" s="9" t="s">
        <v>98</v>
      </c>
      <c r="O79" s="9" t="s">
        <v>89</v>
      </c>
    </row>
    <row r="80" customFormat="false" ht="57.45" hidden="false" customHeight="false" outlineLevel="0" collapsed="false">
      <c r="A80" s="9" t="s">
        <v>484</v>
      </c>
      <c r="B80" s="9" t="s">
        <v>52</v>
      </c>
      <c r="C80" s="9" t="s">
        <v>485</v>
      </c>
      <c r="D80" s="9" t="s">
        <v>486</v>
      </c>
      <c r="E80" s="9" t="s">
        <v>487</v>
      </c>
      <c r="F80" s="9" t="s">
        <v>488</v>
      </c>
      <c r="G80" s="9" t="s">
        <v>36</v>
      </c>
      <c r="H80" s="9" t="s">
        <v>214</v>
      </c>
      <c r="I80" s="9" t="s">
        <v>435</v>
      </c>
      <c r="J80" s="9" t="s">
        <v>27</v>
      </c>
      <c r="K80" s="9" t="s">
        <v>489</v>
      </c>
      <c r="L80" s="9" t="s">
        <v>425</v>
      </c>
      <c r="M80" s="9" t="s">
        <v>426</v>
      </c>
      <c r="N80" s="9" t="s">
        <v>98</v>
      </c>
      <c r="O80" s="9" t="s">
        <v>89</v>
      </c>
    </row>
    <row r="81" customFormat="false" ht="46.25" hidden="false" customHeight="false" outlineLevel="0" collapsed="false">
      <c r="A81" s="9" t="s">
        <v>490</v>
      </c>
      <c r="B81" s="9" t="s">
        <v>53</v>
      </c>
      <c r="C81" s="9" t="s">
        <v>491</v>
      </c>
      <c r="D81" s="9" t="s">
        <v>492</v>
      </c>
      <c r="E81" s="9" t="s">
        <v>493</v>
      </c>
      <c r="F81" s="9" t="s">
        <v>494</v>
      </c>
      <c r="G81" s="9" t="s">
        <v>33</v>
      </c>
      <c r="H81" s="9" t="s">
        <v>135</v>
      </c>
      <c r="I81" s="9" t="s">
        <v>86</v>
      </c>
      <c r="J81" s="9" t="s">
        <v>26</v>
      </c>
      <c r="K81" s="9" t="s">
        <v>495</v>
      </c>
      <c r="L81" s="9"/>
      <c r="M81" s="9" t="s">
        <v>496</v>
      </c>
      <c r="N81" s="9" t="s">
        <v>98</v>
      </c>
      <c r="O81" s="9" t="s">
        <v>89</v>
      </c>
    </row>
    <row r="82" customFormat="false" ht="35.05" hidden="false" customHeight="false" outlineLevel="0" collapsed="false">
      <c r="A82" s="9" t="s">
        <v>497</v>
      </c>
      <c r="B82" s="9" t="s">
        <v>53</v>
      </c>
      <c r="C82" s="9" t="s">
        <v>498</v>
      </c>
      <c r="D82" s="9" t="s">
        <v>492</v>
      </c>
      <c r="E82" s="9" t="s">
        <v>499</v>
      </c>
      <c r="F82" s="9" t="s">
        <v>33</v>
      </c>
      <c r="G82" s="9" t="s">
        <v>33</v>
      </c>
      <c r="H82" s="9" t="s">
        <v>135</v>
      </c>
      <c r="I82" s="9" t="s">
        <v>86</v>
      </c>
      <c r="J82" s="9" t="s">
        <v>26</v>
      </c>
      <c r="K82" s="9" t="s">
        <v>500</v>
      </c>
      <c r="L82" s="9"/>
      <c r="M82" s="9"/>
      <c r="N82" s="9" t="s">
        <v>107</v>
      </c>
      <c r="O82" s="9" t="s">
        <v>89</v>
      </c>
    </row>
    <row r="83" customFormat="false" ht="46.25" hidden="false" customHeight="false" outlineLevel="0" collapsed="false">
      <c r="A83" s="9" t="s">
        <v>501</v>
      </c>
      <c r="B83" s="9" t="s">
        <v>53</v>
      </c>
      <c r="C83" s="9" t="s">
        <v>502</v>
      </c>
      <c r="D83" s="9" t="s">
        <v>492</v>
      </c>
      <c r="E83" s="9" t="s">
        <v>503</v>
      </c>
      <c r="F83" s="9" t="s">
        <v>504</v>
      </c>
      <c r="G83" s="9" t="s">
        <v>34</v>
      </c>
      <c r="H83" s="9" t="s">
        <v>474</v>
      </c>
      <c r="I83" s="9" t="s">
        <v>125</v>
      </c>
      <c r="J83" s="9" t="s">
        <v>26</v>
      </c>
      <c r="K83" s="9" t="s">
        <v>505</v>
      </c>
      <c r="L83" s="9"/>
      <c r="M83" s="9"/>
      <c r="N83" s="9" t="s">
        <v>98</v>
      </c>
      <c r="O83" s="9" t="s">
        <v>89</v>
      </c>
    </row>
    <row r="84" customFormat="false" ht="46.25" hidden="false" customHeight="false" outlineLevel="0" collapsed="false">
      <c r="A84" s="9" t="s">
        <v>506</v>
      </c>
      <c r="B84" s="9" t="s">
        <v>53</v>
      </c>
      <c r="C84" s="9" t="s">
        <v>507</v>
      </c>
      <c r="D84" s="9" t="s">
        <v>492</v>
      </c>
      <c r="E84" s="9" t="s">
        <v>508</v>
      </c>
      <c r="F84" s="9" t="s">
        <v>509</v>
      </c>
      <c r="G84" s="9" t="s">
        <v>32</v>
      </c>
      <c r="H84" s="9" t="s">
        <v>510</v>
      </c>
      <c r="I84" s="9" t="s">
        <v>86</v>
      </c>
      <c r="J84" s="9" t="s">
        <v>27</v>
      </c>
      <c r="K84" s="9" t="s">
        <v>511</v>
      </c>
      <c r="L84" s="9" t="s">
        <v>425</v>
      </c>
      <c r="M84" s="9" t="s">
        <v>431</v>
      </c>
      <c r="N84" s="9" t="s">
        <v>98</v>
      </c>
      <c r="O84" s="9" t="s">
        <v>89</v>
      </c>
    </row>
    <row r="85" customFormat="false" ht="23.85" hidden="false" customHeight="false" outlineLevel="0" collapsed="false">
      <c r="A85" s="9" t="s">
        <v>512</v>
      </c>
      <c r="B85" s="9" t="s">
        <v>54</v>
      </c>
      <c r="C85" s="9" t="s">
        <v>513</v>
      </c>
      <c r="D85" s="9" t="s">
        <v>514</v>
      </c>
      <c r="E85" s="9" t="s">
        <v>515</v>
      </c>
      <c r="F85" s="9" t="s">
        <v>352</v>
      </c>
      <c r="G85" s="9" t="s">
        <v>32</v>
      </c>
      <c r="H85" s="9" t="s">
        <v>135</v>
      </c>
      <c r="I85" s="9" t="s">
        <v>86</v>
      </c>
      <c r="J85" s="9" t="s">
        <v>26</v>
      </c>
      <c r="K85" s="9" t="s">
        <v>516</v>
      </c>
      <c r="L85" s="9"/>
      <c r="M85" s="9"/>
      <c r="N85" s="9" t="s">
        <v>88</v>
      </c>
      <c r="O85" s="9" t="s">
        <v>89</v>
      </c>
    </row>
    <row r="86" customFormat="false" ht="35.05" hidden="false" customHeight="false" outlineLevel="0" collapsed="false">
      <c r="A86" s="9" t="s">
        <v>517</v>
      </c>
      <c r="B86" s="9" t="s">
        <v>54</v>
      </c>
      <c r="C86" s="9" t="s">
        <v>518</v>
      </c>
      <c r="D86" s="9" t="s">
        <v>514</v>
      </c>
      <c r="E86" s="9" t="s">
        <v>519</v>
      </c>
      <c r="F86" s="9" t="s">
        <v>520</v>
      </c>
      <c r="G86" s="9" t="s">
        <v>34</v>
      </c>
      <c r="H86" s="9" t="s">
        <v>135</v>
      </c>
      <c r="I86" s="9" t="s">
        <v>86</v>
      </c>
      <c r="J86" s="9" t="s">
        <v>26</v>
      </c>
      <c r="K86" s="9" t="s">
        <v>521</v>
      </c>
      <c r="L86" s="9"/>
      <c r="M86" s="9" t="s">
        <v>522</v>
      </c>
      <c r="N86" s="9" t="s">
        <v>98</v>
      </c>
      <c r="O86" s="9" t="s">
        <v>89</v>
      </c>
    </row>
    <row r="87" customFormat="false" ht="23.85" hidden="false" customHeight="false" outlineLevel="0" collapsed="false">
      <c r="A87" s="9" t="s">
        <v>523</v>
      </c>
      <c r="B87" s="9" t="s">
        <v>54</v>
      </c>
      <c r="C87" s="9" t="s">
        <v>524</v>
      </c>
      <c r="D87" s="9" t="s">
        <v>514</v>
      </c>
      <c r="E87" s="9" t="s">
        <v>525</v>
      </c>
      <c r="F87" s="9" t="s">
        <v>33</v>
      </c>
      <c r="G87" s="9" t="s">
        <v>33</v>
      </c>
      <c r="H87" s="9" t="s">
        <v>135</v>
      </c>
      <c r="I87" s="9" t="s">
        <v>86</v>
      </c>
      <c r="J87" s="9" t="s">
        <v>26</v>
      </c>
      <c r="K87" s="9" t="s">
        <v>526</v>
      </c>
      <c r="L87" s="9"/>
      <c r="M87" s="9"/>
      <c r="N87" s="9" t="s">
        <v>107</v>
      </c>
      <c r="O87" s="9" t="s">
        <v>89</v>
      </c>
    </row>
    <row r="88" customFormat="false" ht="23.85" hidden="false" customHeight="false" outlineLevel="0" collapsed="false">
      <c r="A88" s="9" t="s">
        <v>527</v>
      </c>
      <c r="B88" s="9" t="s">
        <v>54</v>
      </c>
      <c r="C88" s="9" t="s">
        <v>528</v>
      </c>
      <c r="D88" s="9" t="s">
        <v>514</v>
      </c>
      <c r="E88" s="9" t="s">
        <v>529</v>
      </c>
      <c r="F88" s="9" t="s">
        <v>352</v>
      </c>
      <c r="G88" s="9" t="s">
        <v>32</v>
      </c>
      <c r="H88" s="9" t="s">
        <v>135</v>
      </c>
      <c r="I88" s="9" t="s">
        <v>86</v>
      </c>
      <c r="J88" s="9" t="s">
        <v>26</v>
      </c>
      <c r="K88" s="9" t="s">
        <v>530</v>
      </c>
      <c r="L88" s="9"/>
      <c r="M88" s="9"/>
      <c r="N88" s="9" t="s">
        <v>98</v>
      </c>
      <c r="O88" s="9" t="s">
        <v>89</v>
      </c>
    </row>
    <row r="89" customFormat="false" ht="35.05" hidden="false" customHeight="false" outlineLevel="0" collapsed="false">
      <c r="A89" s="9" t="s">
        <v>531</v>
      </c>
      <c r="B89" s="9" t="s">
        <v>55</v>
      </c>
      <c r="C89" s="9" t="s">
        <v>532</v>
      </c>
      <c r="D89" s="9" t="s">
        <v>514</v>
      </c>
      <c r="E89" s="9" t="s">
        <v>533</v>
      </c>
      <c r="F89" s="9" t="s">
        <v>32</v>
      </c>
      <c r="G89" s="9" t="s">
        <v>32</v>
      </c>
      <c r="H89" s="9" t="s">
        <v>193</v>
      </c>
      <c r="I89" s="9" t="s">
        <v>86</v>
      </c>
      <c r="J89" s="9" t="s">
        <v>26</v>
      </c>
      <c r="K89" s="9" t="s">
        <v>534</v>
      </c>
      <c r="L89" s="9"/>
      <c r="M89" s="9"/>
      <c r="N89" s="9" t="s">
        <v>88</v>
      </c>
      <c r="O89" s="9" t="s">
        <v>89</v>
      </c>
    </row>
    <row r="90" customFormat="false" ht="57.45" hidden="false" customHeight="false" outlineLevel="0" collapsed="false">
      <c r="A90" s="9" t="s">
        <v>535</v>
      </c>
      <c r="B90" s="9" t="s">
        <v>55</v>
      </c>
      <c r="C90" s="9" t="s">
        <v>536</v>
      </c>
      <c r="D90" s="9" t="s">
        <v>514</v>
      </c>
      <c r="E90" s="9" t="s">
        <v>537</v>
      </c>
      <c r="F90" s="9" t="s">
        <v>538</v>
      </c>
      <c r="G90" s="9" t="s">
        <v>34</v>
      </c>
      <c r="H90" s="9" t="s">
        <v>539</v>
      </c>
      <c r="I90" s="9" t="s">
        <v>125</v>
      </c>
      <c r="J90" s="9" t="s">
        <v>27</v>
      </c>
      <c r="K90" s="9" t="s">
        <v>540</v>
      </c>
      <c r="L90" s="9" t="s">
        <v>541</v>
      </c>
      <c r="M90" s="9" t="s">
        <v>542</v>
      </c>
      <c r="N90" s="9" t="s">
        <v>98</v>
      </c>
      <c r="O90" s="9" t="s">
        <v>89</v>
      </c>
    </row>
    <row r="91" customFormat="false" ht="46.25" hidden="false" customHeight="false" outlineLevel="0" collapsed="false">
      <c r="A91" s="9" t="s">
        <v>543</v>
      </c>
      <c r="B91" s="9" t="s">
        <v>55</v>
      </c>
      <c r="C91" s="9" t="s">
        <v>544</v>
      </c>
      <c r="D91" s="9" t="s">
        <v>514</v>
      </c>
      <c r="E91" s="9" t="s">
        <v>545</v>
      </c>
      <c r="F91" s="9" t="s">
        <v>37</v>
      </c>
      <c r="G91" s="9" t="s">
        <v>37</v>
      </c>
      <c r="H91" s="9" t="s">
        <v>214</v>
      </c>
      <c r="I91" s="9" t="s">
        <v>435</v>
      </c>
      <c r="J91" s="9" t="s">
        <v>26</v>
      </c>
      <c r="K91" s="9" t="s">
        <v>546</v>
      </c>
      <c r="L91" s="9"/>
      <c r="M91" s="9" t="s">
        <v>547</v>
      </c>
      <c r="N91" s="9" t="s">
        <v>98</v>
      </c>
      <c r="O91" s="9" t="s">
        <v>89</v>
      </c>
    </row>
    <row r="92" customFormat="false" ht="46.25" hidden="false" customHeight="false" outlineLevel="0" collapsed="false">
      <c r="A92" s="9" t="s">
        <v>548</v>
      </c>
      <c r="B92" s="9" t="s">
        <v>56</v>
      </c>
      <c r="C92" s="9" t="s">
        <v>549</v>
      </c>
      <c r="D92" s="9" t="s">
        <v>550</v>
      </c>
      <c r="E92" s="9" t="s">
        <v>551</v>
      </c>
      <c r="F92" s="9" t="s">
        <v>32</v>
      </c>
      <c r="G92" s="9" t="s">
        <v>32</v>
      </c>
      <c r="H92" s="9" t="s">
        <v>135</v>
      </c>
      <c r="I92" s="9" t="s">
        <v>86</v>
      </c>
      <c r="J92" s="9" t="s">
        <v>26</v>
      </c>
      <c r="K92" s="9" t="s">
        <v>552</v>
      </c>
      <c r="L92" s="9"/>
      <c r="M92" s="9"/>
      <c r="N92" s="9" t="s">
        <v>553</v>
      </c>
      <c r="O92" s="9" t="s">
        <v>89</v>
      </c>
    </row>
    <row r="93" customFormat="false" ht="35.05" hidden="false" customHeight="false" outlineLevel="0" collapsed="false">
      <c r="A93" s="9" t="s">
        <v>554</v>
      </c>
      <c r="B93" s="9" t="s">
        <v>57</v>
      </c>
      <c r="C93" s="9" t="s">
        <v>555</v>
      </c>
      <c r="D93" s="9" t="s">
        <v>550</v>
      </c>
      <c r="E93" s="9" t="s">
        <v>556</v>
      </c>
      <c r="F93" s="9" t="s">
        <v>32</v>
      </c>
      <c r="G93" s="9" t="s">
        <v>32</v>
      </c>
      <c r="H93" s="9" t="s">
        <v>135</v>
      </c>
      <c r="I93" s="9" t="s">
        <v>86</v>
      </c>
      <c r="J93" s="9" t="s">
        <v>26</v>
      </c>
      <c r="K93" s="9" t="s">
        <v>557</v>
      </c>
      <c r="L93" s="9"/>
      <c r="M93" s="9"/>
      <c r="N93" s="9" t="s">
        <v>553</v>
      </c>
      <c r="O93" s="9" t="s">
        <v>89</v>
      </c>
    </row>
    <row r="94" customFormat="false" ht="35.05" hidden="false" customHeight="false" outlineLevel="0" collapsed="false">
      <c r="A94" s="9" t="s">
        <v>558</v>
      </c>
      <c r="B94" s="9" t="s">
        <v>58</v>
      </c>
      <c r="C94" s="9" t="s">
        <v>559</v>
      </c>
      <c r="D94" s="9" t="s">
        <v>550</v>
      </c>
      <c r="E94" s="9" t="s">
        <v>560</v>
      </c>
      <c r="F94" s="9" t="s">
        <v>32</v>
      </c>
      <c r="G94" s="9" t="s">
        <v>32</v>
      </c>
      <c r="H94" s="9" t="s">
        <v>135</v>
      </c>
      <c r="I94" s="9" t="s">
        <v>86</v>
      </c>
      <c r="J94" s="9" t="s">
        <v>26</v>
      </c>
      <c r="K94" s="9" t="s">
        <v>561</v>
      </c>
      <c r="L94" s="9"/>
      <c r="M94" s="9"/>
      <c r="N94" s="9" t="s">
        <v>107</v>
      </c>
      <c r="O94" s="9" t="s">
        <v>89</v>
      </c>
    </row>
    <row r="95" customFormat="false" ht="35.05" hidden="false" customHeight="false" outlineLevel="0" collapsed="false">
      <c r="A95" s="9" t="s">
        <v>562</v>
      </c>
      <c r="B95" s="9" t="s">
        <v>58</v>
      </c>
      <c r="C95" s="9" t="s">
        <v>563</v>
      </c>
      <c r="D95" s="9" t="s">
        <v>550</v>
      </c>
      <c r="E95" s="9" t="s">
        <v>564</v>
      </c>
      <c r="F95" s="9" t="s">
        <v>32</v>
      </c>
      <c r="G95" s="9" t="s">
        <v>32</v>
      </c>
      <c r="H95" s="9" t="s">
        <v>135</v>
      </c>
      <c r="I95" s="9" t="s">
        <v>86</v>
      </c>
      <c r="J95" s="9" t="s">
        <v>26</v>
      </c>
      <c r="K95" s="9" t="s">
        <v>565</v>
      </c>
      <c r="L95" s="9"/>
      <c r="M95" s="9"/>
      <c r="N95" s="9" t="s">
        <v>88</v>
      </c>
      <c r="O95" s="9" t="s">
        <v>89</v>
      </c>
    </row>
    <row r="96" customFormat="false" ht="46.25" hidden="false" customHeight="false" outlineLevel="0" collapsed="false">
      <c r="A96" s="9" t="s">
        <v>566</v>
      </c>
      <c r="B96" s="9" t="s">
        <v>59</v>
      </c>
      <c r="C96" s="9" t="s">
        <v>567</v>
      </c>
      <c r="D96" s="9" t="s">
        <v>550</v>
      </c>
      <c r="E96" s="9" t="s">
        <v>568</v>
      </c>
      <c r="F96" s="9" t="s">
        <v>569</v>
      </c>
      <c r="G96" s="9" t="s">
        <v>32</v>
      </c>
      <c r="H96" s="9" t="s">
        <v>158</v>
      </c>
      <c r="I96" s="9" t="s">
        <v>125</v>
      </c>
      <c r="J96" s="9" t="s">
        <v>26</v>
      </c>
      <c r="K96" s="9" t="s">
        <v>570</v>
      </c>
      <c r="L96" s="9"/>
      <c r="M96" s="9" t="s">
        <v>431</v>
      </c>
      <c r="N96" s="9" t="s">
        <v>88</v>
      </c>
      <c r="O96" s="9" t="s">
        <v>89</v>
      </c>
    </row>
    <row r="97" customFormat="false" ht="35.05" hidden="false" customHeight="false" outlineLevel="0" collapsed="false">
      <c r="A97" s="9" t="s">
        <v>571</v>
      </c>
      <c r="B97" s="9" t="s">
        <v>58</v>
      </c>
      <c r="C97" s="9" t="s">
        <v>572</v>
      </c>
      <c r="D97" s="9" t="s">
        <v>550</v>
      </c>
      <c r="E97" s="9" t="s">
        <v>573</v>
      </c>
      <c r="F97" s="9" t="s">
        <v>33</v>
      </c>
      <c r="G97" s="9" t="s">
        <v>33</v>
      </c>
      <c r="H97" s="9" t="s">
        <v>135</v>
      </c>
      <c r="I97" s="9" t="s">
        <v>86</v>
      </c>
      <c r="J97" s="9" t="s">
        <v>26</v>
      </c>
      <c r="K97" s="9" t="s">
        <v>574</v>
      </c>
      <c r="L97" s="9"/>
      <c r="M97" s="9"/>
      <c r="N97" s="9" t="s">
        <v>98</v>
      </c>
      <c r="O97" s="9" t="s">
        <v>89</v>
      </c>
    </row>
    <row r="98" customFormat="false" ht="35.05" hidden="false" customHeight="false" outlineLevel="0" collapsed="false">
      <c r="A98" s="9" t="s">
        <v>575</v>
      </c>
      <c r="B98" s="9" t="s">
        <v>58</v>
      </c>
      <c r="C98" s="9" t="s">
        <v>576</v>
      </c>
      <c r="D98" s="9" t="s">
        <v>550</v>
      </c>
      <c r="E98" s="9" t="s">
        <v>577</v>
      </c>
      <c r="F98" s="9" t="s">
        <v>32</v>
      </c>
      <c r="G98" s="9" t="s">
        <v>32</v>
      </c>
      <c r="H98" s="9" t="s">
        <v>158</v>
      </c>
      <c r="I98" s="9" t="s">
        <v>86</v>
      </c>
      <c r="J98" s="9" t="s">
        <v>26</v>
      </c>
      <c r="K98" s="9" t="s">
        <v>578</v>
      </c>
      <c r="L98" s="9"/>
      <c r="M98" s="9"/>
      <c r="N98" s="9" t="s">
        <v>98</v>
      </c>
      <c r="O98" s="9" t="s">
        <v>89</v>
      </c>
    </row>
  </sheetData>
  <autoFilter ref="A1:O98"/>
  <dataValidations count="1">
    <dataValidation allowBlank="true" errorStyle="stop" operator="between" showDropDown="false" showErrorMessage="false" showInputMessage="false" sqref="J2:J98" type="list">
      <formula1>"Working,Working – assumption to confirm,Not working,Changed by MSCAST"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6"/>
    <col collapsed="false" customWidth="true" hidden="false" outlineLevel="0" max="4" min="4" style="0" width="64"/>
    <col collapsed="false" customWidth="true" hidden="false" outlineLevel="0" max="5" min="5" style="0" width="20"/>
    <col collapsed="false" customWidth="true" hidden="false" outlineLevel="0" max="6" min="6" style="0" width="34"/>
    <col collapsed="false" customWidth="true" hidden="false" outlineLevel="0" max="7" min="7" style="0" width="16"/>
    <col collapsed="false" customWidth="true" hidden="false" outlineLevel="0" max="8" min="8" style="0" width="20"/>
  </cols>
  <sheetData>
    <row r="1" customFormat="false" ht="35.05" hidden="false" customHeight="false" outlineLevel="0" collapsed="false">
      <c r="A1" s="8" t="s">
        <v>71</v>
      </c>
      <c r="B1" s="8" t="s">
        <v>61</v>
      </c>
      <c r="C1" s="8" t="s">
        <v>579</v>
      </c>
      <c r="D1" s="8" t="s">
        <v>580</v>
      </c>
      <c r="E1" s="8" t="s">
        <v>581</v>
      </c>
      <c r="F1" s="8" t="s">
        <v>582</v>
      </c>
      <c r="G1" s="8" t="s">
        <v>583</v>
      </c>
      <c r="H1" s="8" t="s">
        <v>17</v>
      </c>
    </row>
    <row r="2" customFormat="false" ht="23.85" hidden="false" customHeight="false" outlineLevel="0" collapsed="false">
      <c r="A2" s="10" t="s">
        <v>584</v>
      </c>
      <c r="B2" s="10" t="s">
        <v>63</v>
      </c>
      <c r="C2" s="10" t="s">
        <v>585</v>
      </c>
      <c r="D2" s="10" t="s">
        <v>586</v>
      </c>
      <c r="E2" s="10" t="s">
        <v>587</v>
      </c>
      <c r="F2" s="10" t="s">
        <v>588</v>
      </c>
      <c r="G2" s="10" t="s">
        <v>589</v>
      </c>
      <c r="H2" s="10" t="s">
        <v>590</v>
      </c>
    </row>
    <row r="3" customFormat="false" ht="23.85" hidden="false" customHeight="false" outlineLevel="0" collapsed="false">
      <c r="A3" s="10" t="s">
        <v>591</v>
      </c>
      <c r="B3" s="10" t="s">
        <v>63</v>
      </c>
      <c r="C3" s="10" t="s">
        <v>592</v>
      </c>
      <c r="D3" s="10" t="s">
        <v>593</v>
      </c>
      <c r="E3" s="10" t="s">
        <v>477</v>
      </c>
      <c r="F3" s="10" t="s">
        <v>594</v>
      </c>
      <c r="G3" s="10" t="s">
        <v>595</v>
      </c>
      <c r="H3" s="10" t="s">
        <v>590</v>
      </c>
    </row>
    <row r="4" customFormat="false" ht="35.05" hidden="false" customHeight="false" outlineLevel="0" collapsed="false">
      <c r="A4" s="10" t="s">
        <v>596</v>
      </c>
      <c r="B4" s="10" t="s">
        <v>63</v>
      </c>
      <c r="C4" s="10" t="s">
        <v>597</v>
      </c>
      <c r="D4" s="10" t="s">
        <v>598</v>
      </c>
      <c r="E4" s="10" t="s">
        <v>477</v>
      </c>
      <c r="F4" s="10" t="s">
        <v>599</v>
      </c>
      <c r="G4" s="10" t="s">
        <v>600</v>
      </c>
      <c r="H4" s="10" t="s">
        <v>590</v>
      </c>
    </row>
    <row r="5" customFormat="false" ht="23.85" hidden="false" customHeight="false" outlineLevel="0" collapsed="false">
      <c r="A5" s="10" t="s">
        <v>601</v>
      </c>
      <c r="B5" s="10" t="s">
        <v>63</v>
      </c>
      <c r="C5" s="10" t="s">
        <v>602</v>
      </c>
      <c r="D5" s="10" t="s">
        <v>603</v>
      </c>
      <c r="E5" s="10" t="s">
        <v>477</v>
      </c>
      <c r="F5" s="10" t="s">
        <v>604</v>
      </c>
      <c r="G5" s="10" t="s">
        <v>605</v>
      </c>
      <c r="H5" s="10" t="s">
        <v>590</v>
      </c>
    </row>
    <row r="6" customFormat="false" ht="23.85" hidden="false" customHeight="false" outlineLevel="0" collapsed="false">
      <c r="A6" s="10" t="s">
        <v>606</v>
      </c>
      <c r="B6" s="10" t="s">
        <v>63</v>
      </c>
      <c r="C6" s="10" t="s">
        <v>607</v>
      </c>
      <c r="D6" s="10" t="s">
        <v>608</v>
      </c>
      <c r="E6" s="10" t="s">
        <v>609</v>
      </c>
      <c r="F6" s="10" t="s">
        <v>610</v>
      </c>
      <c r="G6" s="10" t="s">
        <v>611</v>
      </c>
      <c r="H6" s="10" t="s">
        <v>590</v>
      </c>
    </row>
    <row r="7" customFormat="false" ht="46.25" hidden="false" customHeight="false" outlineLevel="0" collapsed="false">
      <c r="A7" s="10" t="s">
        <v>612</v>
      </c>
      <c r="B7" s="10" t="s">
        <v>62</v>
      </c>
      <c r="C7" s="10" t="s">
        <v>613</v>
      </c>
      <c r="D7" s="10" t="s">
        <v>614</v>
      </c>
      <c r="E7" s="10" t="s">
        <v>615</v>
      </c>
      <c r="F7" s="10" t="s">
        <v>616</v>
      </c>
      <c r="G7" s="10" t="s">
        <v>617</v>
      </c>
      <c r="H7" s="10" t="s">
        <v>590</v>
      </c>
    </row>
    <row r="8" customFormat="false" ht="23.85" hidden="false" customHeight="false" outlineLevel="0" collapsed="false">
      <c r="A8" s="10" t="s">
        <v>618</v>
      </c>
      <c r="B8" s="10" t="s">
        <v>62</v>
      </c>
      <c r="C8" s="10" t="s">
        <v>619</v>
      </c>
      <c r="D8" s="10" t="s">
        <v>620</v>
      </c>
      <c r="E8" s="10" t="s">
        <v>621</v>
      </c>
      <c r="F8" s="10" t="s">
        <v>622</v>
      </c>
      <c r="G8" s="10" t="s">
        <v>623</v>
      </c>
      <c r="H8" s="10" t="s">
        <v>590</v>
      </c>
    </row>
    <row r="9" customFormat="false" ht="23.85" hidden="false" customHeight="false" outlineLevel="0" collapsed="false">
      <c r="A9" s="10" t="s">
        <v>624</v>
      </c>
      <c r="B9" s="10" t="s">
        <v>62</v>
      </c>
      <c r="C9" s="10" t="s">
        <v>625</v>
      </c>
      <c r="D9" s="10" t="s">
        <v>626</v>
      </c>
      <c r="E9" s="10" t="s">
        <v>627</v>
      </c>
      <c r="F9" s="10" t="s">
        <v>628</v>
      </c>
      <c r="G9" s="10" t="s">
        <v>629</v>
      </c>
      <c r="H9" s="10" t="s">
        <v>590</v>
      </c>
    </row>
    <row r="10" customFormat="false" ht="23.85" hidden="false" customHeight="false" outlineLevel="0" collapsed="false">
      <c r="A10" s="10" t="s">
        <v>630</v>
      </c>
      <c r="B10" s="10" t="s">
        <v>62</v>
      </c>
      <c r="C10" s="10" t="s">
        <v>631</v>
      </c>
      <c r="D10" s="10" t="s">
        <v>632</v>
      </c>
      <c r="E10" s="10" t="s">
        <v>633</v>
      </c>
      <c r="F10" s="10" t="s">
        <v>634</v>
      </c>
      <c r="G10" s="10" t="s">
        <v>635</v>
      </c>
      <c r="H10" s="10" t="s">
        <v>590</v>
      </c>
    </row>
    <row r="11" customFormat="false" ht="23.85" hidden="false" customHeight="false" outlineLevel="0" collapsed="false">
      <c r="A11" s="10" t="s">
        <v>636</v>
      </c>
      <c r="B11" s="10" t="s">
        <v>62</v>
      </c>
      <c r="C11" s="10" t="s">
        <v>637</v>
      </c>
      <c r="D11" s="10" t="s">
        <v>638</v>
      </c>
      <c r="E11" s="10" t="s">
        <v>639</v>
      </c>
      <c r="F11" s="10" t="s">
        <v>640</v>
      </c>
      <c r="G11" s="10" t="s">
        <v>635</v>
      </c>
      <c r="H11" s="10" t="s">
        <v>590</v>
      </c>
    </row>
    <row r="12" customFormat="false" ht="23.85" hidden="false" customHeight="false" outlineLevel="0" collapsed="false">
      <c r="A12" s="10" t="s">
        <v>641</v>
      </c>
      <c r="B12" s="10" t="s">
        <v>62</v>
      </c>
      <c r="C12" s="10" t="s">
        <v>642</v>
      </c>
      <c r="D12" s="10" t="s">
        <v>643</v>
      </c>
      <c r="E12" s="10" t="s">
        <v>644</v>
      </c>
      <c r="F12" s="10" t="s">
        <v>645</v>
      </c>
      <c r="G12" s="10" t="s">
        <v>646</v>
      </c>
      <c r="H12" s="10" t="s">
        <v>590</v>
      </c>
    </row>
    <row r="13" customFormat="false" ht="35.05" hidden="false" customHeight="false" outlineLevel="0" collapsed="false">
      <c r="A13" s="10" t="s">
        <v>647</v>
      </c>
      <c r="B13" s="10" t="s">
        <v>64</v>
      </c>
      <c r="C13" s="10" t="s">
        <v>648</v>
      </c>
      <c r="D13" s="10" t="s">
        <v>649</v>
      </c>
      <c r="E13" s="10" t="s">
        <v>650</v>
      </c>
      <c r="F13" s="10" t="s">
        <v>651</v>
      </c>
      <c r="G13" s="10" t="s">
        <v>652</v>
      </c>
      <c r="H13" s="10" t="s">
        <v>590</v>
      </c>
    </row>
    <row r="14" customFormat="false" ht="23.85" hidden="false" customHeight="false" outlineLevel="0" collapsed="false">
      <c r="A14" s="10" t="s">
        <v>653</v>
      </c>
      <c r="B14" s="10" t="s">
        <v>64</v>
      </c>
      <c r="C14" s="10" t="s">
        <v>654</v>
      </c>
      <c r="D14" s="10" t="s">
        <v>655</v>
      </c>
      <c r="E14" s="10" t="s">
        <v>656</v>
      </c>
      <c r="F14" s="10" t="s">
        <v>657</v>
      </c>
      <c r="G14" s="10" t="s">
        <v>658</v>
      </c>
      <c r="H14" s="10" t="s">
        <v>590</v>
      </c>
    </row>
    <row r="15" customFormat="false" ht="23.85" hidden="false" customHeight="false" outlineLevel="0" collapsed="false">
      <c r="A15" s="10" t="s">
        <v>659</v>
      </c>
      <c r="B15" s="10" t="s">
        <v>64</v>
      </c>
      <c r="C15" s="10" t="s">
        <v>660</v>
      </c>
      <c r="D15" s="10" t="s">
        <v>661</v>
      </c>
      <c r="E15" s="10" t="s">
        <v>470</v>
      </c>
      <c r="F15" s="10" t="s">
        <v>662</v>
      </c>
      <c r="G15" s="10" t="s">
        <v>652</v>
      </c>
      <c r="H15" s="10" t="s">
        <v>590</v>
      </c>
    </row>
    <row r="16" customFormat="false" ht="23.85" hidden="false" customHeight="false" outlineLevel="0" collapsed="false">
      <c r="A16" s="10" t="s">
        <v>663</v>
      </c>
      <c r="B16" s="10" t="s">
        <v>65</v>
      </c>
      <c r="C16" s="10" t="s">
        <v>664</v>
      </c>
      <c r="D16" s="10" t="s">
        <v>665</v>
      </c>
      <c r="E16" s="10" t="s">
        <v>666</v>
      </c>
      <c r="F16" s="10" t="s">
        <v>667</v>
      </c>
      <c r="G16" s="10" t="s">
        <v>668</v>
      </c>
      <c r="H16" s="10" t="s">
        <v>590</v>
      </c>
    </row>
    <row r="17" customFormat="false" ht="23.85" hidden="false" customHeight="false" outlineLevel="0" collapsed="false">
      <c r="A17" s="10" t="s">
        <v>669</v>
      </c>
      <c r="B17" s="10" t="s">
        <v>65</v>
      </c>
      <c r="C17" s="10" t="s">
        <v>670</v>
      </c>
      <c r="D17" s="10" t="s">
        <v>671</v>
      </c>
      <c r="E17" s="10" t="s">
        <v>672</v>
      </c>
      <c r="F17" s="10" t="s">
        <v>673</v>
      </c>
      <c r="G17" s="10" t="s">
        <v>674</v>
      </c>
      <c r="H17" s="10" t="s">
        <v>590</v>
      </c>
    </row>
    <row r="18" customFormat="false" ht="23.85" hidden="false" customHeight="false" outlineLevel="0" collapsed="false">
      <c r="A18" s="10" t="s">
        <v>675</v>
      </c>
      <c r="B18" s="10" t="s">
        <v>65</v>
      </c>
      <c r="C18" s="10" t="s">
        <v>676</v>
      </c>
      <c r="D18" s="10" t="s">
        <v>677</v>
      </c>
      <c r="E18" s="10" t="s">
        <v>678</v>
      </c>
      <c r="F18" s="10" t="s">
        <v>679</v>
      </c>
      <c r="G18" s="10" t="s">
        <v>680</v>
      </c>
      <c r="H18" s="10" t="s">
        <v>590</v>
      </c>
    </row>
    <row r="19" customFormat="false" ht="23.85" hidden="false" customHeight="false" outlineLevel="0" collapsed="false">
      <c r="A19" s="10" t="s">
        <v>681</v>
      </c>
      <c r="B19" s="10" t="s">
        <v>65</v>
      </c>
      <c r="C19" s="10" t="s">
        <v>682</v>
      </c>
      <c r="D19" s="10" t="s">
        <v>683</v>
      </c>
      <c r="E19" s="10" t="s">
        <v>465</v>
      </c>
      <c r="F19" s="10" t="s">
        <v>684</v>
      </c>
      <c r="G19" s="10" t="s">
        <v>685</v>
      </c>
      <c r="H19" s="10" t="s">
        <v>590</v>
      </c>
    </row>
    <row r="20" customFormat="false" ht="23.85" hidden="false" customHeight="false" outlineLevel="0" collapsed="false">
      <c r="A20" s="10" t="s">
        <v>686</v>
      </c>
      <c r="B20" s="10" t="s">
        <v>64</v>
      </c>
      <c r="C20" s="10" t="s">
        <v>687</v>
      </c>
      <c r="D20" s="10" t="s">
        <v>688</v>
      </c>
      <c r="E20" s="10" t="s">
        <v>477</v>
      </c>
      <c r="F20" s="10" t="s">
        <v>689</v>
      </c>
      <c r="G20" s="10" t="s">
        <v>652</v>
      </c>
      <c r="H20" s="10" t="s">
        <v>590</v>
      </c>
    </row>
    <row r="21" customFormat="false" ht="23.85" hidden="false" customHeight="false" outlineLevel="0" collapsed="false">
      <c r="A21" s="10" t="s">
        <v>690</v>
      </c>
      <c r="B21" s="10" t="s">
        <v>63</v>
      </c>
      <c r="C21" s="10" t="s">
        <v>691</v>
      </c>
      <c r="D21" s="10" t="s">
        <v>692</v>
      </c>
      <c r="E21" s="10" t="s">
        <v>693</v>
      </c>
      <c r="F21" s="10" t="s">
        <v>694</v>
      </c>
      <c r="G21" s="10" t="s">
        <v>693</v>
      </c>
      <c r="H21" s="10" t="s">
        <v>590</v>
      </c>
    </row>
    <row r="22" customFormat="false" ht="23.85" hidden="false" customHeight="false" outlineLevel="0" collapsed="false">
      <c r="A22" s="10" t="s">
        <v>695</v>
      </c>
      <c r="B22" s="10" t="s">
        <v>63</v>
      </c>
      <c r="C22" s="10" t="s">
        <v>696</v>
      </c>
      <c r="D22" s="10" t="s">
        <v>697</v>
      </c>
      <c r="E22" s="10" t="s">
        <v>693</v>
      </c>
      <c r="F22" s="10" t="s">
        <v>698</v>
      </c>
      <c r="G22" s="10" t="s">
        <v>693</v>
      </c>
      <c r="H22" s="10" t="s">
        <v>590</v>
      </c>
    </row>
    <row r="23" customFormat="false" ht="23.85" hidden="false" customHeight="false" outlineLevel="0" collapsed="false">
      <c r="A23" s="10" t="s">
        <v>699</v>
      </c>
      <c r="B23" s="10" t="s">
        <v>65</v>
      </c>
      <c r="C23" s="10" t="s">
        <v>700</v>
      </c>
      <c r="D23" s="10" t="s">
        <v>701</v>
      </c>
      <c r="E23" s="10" t="s">
        <v>693</v>
      </c>
      <c r="F23" s="10" t="s">
        <v>702</v>
      </c>
      <c r="G23" s="10" t="s">
        <v>703</v>
      </c>
      <c r="H23" s="10" t="s">
        <v>590</v>
      </c>
    </row>
    <row r="24" customFormat="false" ht="23.85" hidden="false" customHeight="false" outlineLevel="0" collapsed="false">
      <c r="A24" s="10" t="s">
        <v>704</v>
      </c>
      <c r="B24" s="10" t="s">
        <v>66</v>
      </c>
      <c r="C24" s="10" t="s">
        <v>705</v>
      </c>
      <c r="D24" s="10" t="s">
        <v>706</v>
      </c>
      <c r="E24" s="10" t="s">
        <v>693</v>
      </c>
      <c r="F24" s="10" t="s">
        <v>707</v>
      </c>
      <c r="G24" s="10" t="s">
        <v>693</v>
      </c>
      <c r="H24" s="10" t="s">
        <v>590</v>
      </c>
    </row>
  </sheetData>
  <autoFilter ref="A1:H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70"/>
    <col collapsed="false" customWidth="true" hidden="false" outlineLevel="0" max="4" min="4" style="0" width="18"/>
    <col collapsed="false" customWidth="true" hidden="false" outlineLevel="0" max="6" min="5" style="0" width="13"/>
    <col collapsed="false" customWidth="true" hidden="false" outlineLevel="0" max="7" min="7" style="0" width="40"/>
    <col collapsed="false" customWidth="true" hidden="false" outlineLevel="0" max="8" min="8" style="0" width="10"/>
  </cols>
  <sheetData>
    <row r="1" customFormat="false" ht="23.85" hidden="false" customHeight="false" outlineLevel="0" collapsed="false">
      <c r="A1" s="8" t="s">
        <v>708</v>
      </c>
      <c r="B1" s="8" t="s">
        <v>709</v>
      </c>
      <c r="C1" s="8" t="s">
        <v>710</v>
      </c>
      <c r="D1" s="8" t="s">
        <v>711</v>
      </c>
      <c r="E1" s="8" t="s">
        <v>712</v>
      </c>
      <c r="F1" s="8" t="s">
        <v>713</v>
      </c>
      <c r="G1" s="8" t="s">
        <v>714</v>
      </c>
      <c r="H1" s="8" t="s">
        <v>24</v>
      </c>
    </row>
    <row r="2" customFormat="false" ht="23.85" hidden="false" customHeight="false" outlineLevel="0" collapsed="false">
      <c r="A2" s="9" t="s">
        <v>438</v>
      </c>
      <c r="B2" s="9" t="s">
        <v>433</v>
      </c>
      <c r="C2" s="9" t="s">
        <v>715</v>
      </c>
      <c r="D2" s="9" t="s">
        <v>432</v>
      </c>
      <c r="E2" s="9" t="s">
        <v>716</v>
      </c>
      <c r="F2" s="9" t="s">
        <v>214</v>
      </c>
      <c r="G2" s="11"/>
      <c r="H2" s="9" t="s">
        <v>68</v>
      </c>
    </row>
    <row r="3" customFormat="false" ht="23.85" hidden="false" customHeight="false" outlineLevel="0" collapsed="false">
      <c r="A3" s="9" t="s">
        <v>176</v>
      </c>
      <c r="B3" s="9" t="s">
        <v>717</v>
      </c>
      <c r="C3" s="9" t="s">
        <v>718</v>
      </c>
      <c r="D3" s="9" t="s">
        <v>719</v>
      </c>
      <c r="E3" s="9" t="s">
        <v>716</v>
      </c>
      <c r="F3" s="9" t="s">
        <v>214</v>
      </c>
      <c r="G3" s="11"/>
      <c r="H3" s="9" t="s">
        <v>68</v>
      </c>
    </row>
    <row r="4" customFormat="false" ht="15" hidden="false" customHeight="false" outlineLevel="0" collapsed="false">
      <c r="A4" s="9" t="s">
        <v>232</v>
      </c>
      <c r="B4" s="9" t="s">
        <v>720</v>
      </c>
      <c r="C4" s="9" t="s">
        <v>721</v>
      </c>
      <c r="D4" s="9" t="s">
        <v>722</v>
      </c>
      <c r="E4" s="9" t="s">
        <v>716</v>
      </c>
      <c r="F4" s="9" t="s">
        <v>214</v>
      </c>
      <c r="G4" s="11"/>
      <c r="H4" s="9" t="s">
        <v>68</v>
      </c>
    </row>
    <row r="5" customFormat="false" ht="35.05" hidden="false" customHeight="false" outlineLevel="0" collapsed="false">
      <c r="A5" s="9" t="s">
        <v>723</v>
      </c>
      <c r="B5" s="9" t="s">
        <v>724</v>
      </c>
      <c r="C5" s="9" t="s">
        <v>725</v>
      </c>
      <c r="D5" s="9" t="s">
        <v>726</v>
      </c>
      <c r="E5" s="9" t="s">
        <v>716</v>
      </c>
      <c r="F5" s="9" t="s">
        <v>214</v>
      </c>
      <c r="G5" s="11"/>
      <c r="H5" s="9" t="s">
        <v>68</v>
      </c>
    </row>
    <row r="6" customFormat="false" ht="15" hidden="false" customHeight="false" outlineLevel="0" collapsed="false">
      <c r="A6" s="9" t="s">
        <v>182</v>
      </c>
      <c r="B6" s="9" t="s">
        <v>727</v>
      </c>
      <c r="C6" s="9" t="s">
        <v>728</v>
      </c>
      <c r="D6" s="9" t="s">
        <v>729</v>
      </c>
      <c r="E6" s="9" t="s">
        <v>716</v>
      </c>
      <c r="F6" s="9" t="s">
        <v>214</v>
      </c>
      <c r="G6" s="11"/>
      <c r="H6" s="9" t="s">
        <v>68</v>
      </c>
    </row>
    <row r="7" customFormat="false" ht="23.85" hidden="false" customHeight="false" outlineLevel="0" collapsed="false">
      <c r="A7" s="9" t="s">
        <v>444</v>
      </c>
      <c r="B7" s="9" t="s">
        <v>730</v>
      </c>
      <c r="C7" s="9" t="s">
        <v>731</v>
      </c>
      <c r="D7" s="9" t="s">
        <v>439</v>
      </c>
      <c r="E7" s="9" t="s">
        <v>716</v>
      </c>
      <c r="F7" s="9" t="s">
        <v>214</v>
      </c>
      <c r="G7" s="11"/>
      <c r="H7" s="9" t="s">
        <v>68</v>
      </c>
    </row>
    <row r="8" customFormat="false" ht="23.85" hidden="false" customHeight="false" outlineLevel="0" collapsed="false">
      <c r="A8" s="9" t="s">
        <v>476</v>
      </c>
      <c r="B8" s="9" t="s">
        <v>732</v>
      </c>
      <c r="C8" s="9" t="s">
        <v>733</v>
      </c>
      <c r="D8" s="9" t="s">
        <v>470</v>
      </c>
      <c r="E8" s="9" t="s">
        <v>716</v>
      </c>
      <c r="F8" s="9" t="s">
        <v>214</v>
      </c>
      <c r="G8" s="11"/>
      <c r="H8" s="9" t="s">
        <v>68</v>
      </c>
    </row>
    <row r="9" customFormat="false" ht="15" hidden="false" customHeight="false" outlineLevel="0" collapsed="false">
      <c r="A9" s="9" t="s">
        <v>522</v>
      </c>
      <c r="B9" s="9" t="s">
        <v>734</v>
      </c>
      <c r="C9" s="9" t="s">
        <v>735</v>
      </c>
      <c r="D9" s="9" t="s">
        <v>517</v>
      </c>
      <c r="E9" s="9" t="s">
        <v>716</v>
      </c>
      <c r="F9" s="9" t="s">
        <v>214</v>
      </c>
      <c r="G9" s="11"/>
      <c r="H9" s="9" t="s">
        <v>68</v>
      </c>
    </row>
    <row r="10" customFormat="false" ht="15" hidden="false" customHeight="false" outlineLevel="0" collapsed="false">
      <c r="A10" s="9" t="s">
        <v>547</v>
      </c>
      <c r="B10" s="9" t="s">
        <v>544</v>
      </c>
      <c r="C10" s="9" t="s">
        <v>736</v>
      </c>
      <c r="D10" s="9" t="s">
        <v>543</v>
      </c>
      <c r="E10" s="9" t="s">
        <v>425</v>
      </c>
      <c r="F10" s="9" t="s">
        <v>214</v>
      </c>
      <c r="G10" s="11"/>
      <c r="H10" s="9" t="s">
        <v>68</v>
      </c>
    </row>
    <row r="11" customFormat="false" ht="23.85" hidden="false" customHeight="false" outlineLevel="0" collapsed="false">
      <c r="A11" s="9" t="s">
        <v>426</v>
      </c>
      <c r="B11" s="9" t="s">
        <v>737</v>
      </c>
      <c r="C11" s="9" t="s">
        <v>738</v>
      </c>
      <c r="D11" s="9" t="s">
        <v>739</v>
      </c>
      <c r="E11" s="9" t="s">
        <v>425</v>
      </c>
      <c r="F11" s="9" t="s">
        <v>214</v>
      </c>
      <c r="G11" s="11"/>
      <c r="H11" s="9" t="s">
        <v>68</v>
      </c>
    </row>
    <row r="12" customFormat="false" ht="15" hidden="false" customHeight="false" outlineLevel="0" collapsed="false">
      <c r="A12" s="9" t="s">
        <v>542</v>
      </c>
      <c r="B12" s="9" t="s">
        <v>740</v>
      </c>
      <c r="C12" s="9" t="s">
        <v>741</v>
      </c>
      <c r="D12" s="9" t="s">
        <v>535</v>
      </c>
      <c r="E12" s="9" t="s">
        <v>425</v>
      </c>
      <c r="F12" s="9" t="s">
        <v>214</v>
      </c>
      <c r="G12" s="11"/>
      <c r="H12" s="9" t="s">
        <v>68</v>
      </c>
    </row>
    <row r="13" customFormat="false" ht="15" hidden="false" customHeight="false" outlineLevel="0" collapsed="false">
      <c r="A13" s="9" t="s">
        <v>431</v>
      </c>
      <c r="B13" s="9" t="s">
        <v>742</v>
      </c>
      <c r="C13" s="9" t="s">
        <v>743</v>
      </c>
      <c r="D13" s="9" t="s">
        <v>744</v>
      </c>
      <c r="E13" s="9" t="s">
        <v>745</v>
      </c>
      <c r="F13" s="9" t="s">
        <v>214</v>
      </c>
      <c r="G13" s="11"/>
      <c r="H13" s="9" t="s">
        <v>68</v>
      </c>
    </row>
    <row r="14" customFormat="false" ht="23.85" hidden="false" customHeight="false" outlineLevel="0" collapsed="false">
      <c r="A14" s="9" t="s">
        <v>483</v>
      </c>
      <c r="B14" s="9" t="s">
        <v>746</v>
      </c>
      <c r="C14" s="9" t="s">
        <v>747</v>
      </c>
      <c r="D14" s="9" t="s">
        <v>477</v>
      </c>
      <c r="E14" s="9" t="s">
        <v>716</v>
      </c>
      <c r="F14" s="9" t="s">
        <v>214</v>
      </c>
      <c r="G14" s="11"/>
      <c r="H14" s="9" t="s">
        <v>68</v>
      </c>
    </row>
    <row r="15" customFormat="false" ht="15" hidden="false" customHeight="false" outlineLevel="0" collapsed="false">
      <c r="A15" s="9" t="s">
        <v>148</v>
      </c>
      <c r="B15" s="9" t="s">
        <v>748</v>
      </c>
      <c r="C15" s="9" t="s">
        <v>749</v>
      </c>
      <c r="D15" s="9" t="s">
        <v>143</v>
      </c>
      <c r="E15" s="9" t="s">
        <v>716</v>
      </c>
      <c r="F15" s="9" t="s">
        <v>85</v>
      </c>
      <c r="G15" s="11"/>
      <c r="H15" s="9" t="s">
        <v>68</v>
      </c>
    </row>
    <row r="16" customFormat="false" ht="15" hidden="false" customHeight="false" outlineLevel="0" collapsed="false">
      <c r="A16" s="9" t="s">
        <v>160</v>
      </c>
      <c r="B16" s="9" t="s">
        <v>750</v>
      </c>
      <c r="C16" s="9" t="s">
        <v>751</v>
      </c>
      <c r="D16" s="9" t="s">
        <v>155</v>
      </c>
      <c r="E16" s="9" t="s">
        <v>716</v>
      </c>
      <c r="F16" s="9" t="s">
        <v>85</v>
      </c>
      <c r="G16" s="11"/>
      <c r="H16" s="9" t="s">
        <v>68</v>
      </c>
    </row>
    <row r="17" customFormat="false" ht="15" hidden="false" customHeight="false" outlineLevel="0" collapsed="false">
      <c r="A17" s="9" t="s">
        <v>416</v>
      </c>
      <c r="B17" s="9" t="s">
        <v>752</v>
      </c>
      <c r="C17" s="9" t="s">
        <v>753</v>
      </c>
      <c r="D17" s="9" t="s">
        <v>412</v>
      </c>
      <c r="E17" s="9" t="s">
        <v>716</v>
      </c>
      <c r="F17" s="9" t="s">
        <v>85</v>
      </c>
      <c r="G17" s="11"/>
      <c r="H17" s="9" t="s">
        <v>68</v>
      </c>
    </row>
    <row r="18" customFormat="false" ht="15" hidden="false" customHeight="false" outlineLevel="0" collapsed="false">
      <c r="A18" s="9" t="s">
        <v>291</v>
      </c>
      <c r="B18" s="9" t="s">
        <v>754</v>
      </c>
      <c r="C18" s="9" t="s">
        <v>755</v>
      </c>
      <c r="D18" s="9" t="s">
        <v>285</v>
      </c>
      <c r="E18" s="9" t="s">
        <v>716</v>
      </c>
      <c r="F18" s="9" t="s">
        <v>214</v>
      </c>
      <c r="G18" s="11"/>
      <c r="H18" s="9" t="s">
        <v>68</v>
      </c>
    </row>
    <row r="19" customFormat="false" ht="15" hidden="false" customHeight="false" outlineLevel="0" collapsed="false">
      <c r="A19" s="9" t="s">
        <v>280</v>
      </c>
      <c r="B19" s="9" t="s">
        <v>756</v>
      </c>
      <c r="C19" s="9" t="s">
        <v>757</v>
      </c>
      <c r="D19" s="9" t="s">
        <v>758</v>
      </c>
      <c r="E19" s="9" t="s">
        <v>716</v>
      </c>
      <c r="F19" s="9" t="s">
        <v>214</v>
      </c>
      <c r="G19" s="11"/>
      <c r="H19" s="9" t="s">
        <v>68</v>
      </c>
    </row>
    <row r="20" customFormat="false" ht="15" hidden="false" customHeight="false" outlineLevel="0" collapsed="false">
      <c r="A20" s="9" t="s">
        <v>496</v>
      </c>
      <c r="B20" s="9" t="s">
        <v>759</v>
      </c>
      <c r="C20" s="9" t="s">
        <v>760</v>
      </c>
      <c r="D20" s="9" t="s">
        <v>490</v>
      </c>
      <c r="E20" s="9" t="s">
        <v>716</v>
      </c>
      <c r="F20" s="9" t="s">
        <v>135</v>
      </c>
      <c r="G20" s="11"/>
      <c r="H20" s="9" t="s">
        <v>68</v>
      </c>
    </row>
    <row r="21" customFormat="false" ht="23.85" hidden="false" customHeight="false" outlineLevel="0" collapsed="false">
      <c r="A21" s="9" t="s">
        <v>165</v>
      </c>
      <c r="B21" s="9" t="s">
        <v>761</v>
      </c>
      <c r="C21" s="9" t="s">
        <v>762</v>
      </c>
      <c r="D21" s="9" t="s">
        <v>763</v>
      </c>
      <c r="E21" s="9" t="s">
        <v>716</v>
      </c>
      <c r="F21" s="9" t="s">
        <v>764</v>
      </c>
      <c r="G21" s="11"/>
      <c r="H21" s="9" t="s">
        <v>68</v>
      </c>
    </row>
    <row r="22" customFormat="false" ht="35.05" hidden="false" customHeight="false" outlineLevel="0" collapsed="false">
      <c r="A22" s="9" t="s">
        <v>195</v>
      </c>
      <c r="B22" s="9" t="s">
        <v>765</v>
      </c>
      <c r="C22" s="9" t="s">
        <v>766</v>
      </c>
      <c r="D22" s="9" t="s">
        <v>767</v>
      </c>
      <c r="E22" s="9" t="s">
        <v>716</v>
      </c>
      <c r="F22" s="9" t="s">
        <v>764</v>
      </c>
      <c r="G22" s="11"/>
      <c r="H22" s="9" t="s">
        <v>68</v>
      </c>
    </row>
  </sheetData>
  <autoFilter ref="A1:H22"/>
  <dataValidations count="1">
    <dataValidation allowBlank="true" errorStyle="stop" operator="between" showDropDown="false" showErrorMessage="false" showInputMessage="false" sqref="H2:H22" type="list">
      <formula1>"Open,Answered,Not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2026-09-21T12:25:02Z</dcterms:created>
  <dc:creator>openpyxl</dc:creator>
  <dc:description/>
  <dc:language>en-US</dc:language>
  <cp:lastModifiedBy/>
  <dcterms:modified xsi:type="dcterms:W3CDTF">2026-09-21T12:25:03Z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