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495" windowWidth="24615" windowHeight="7620" activeTab="1"/>
  </bookViews>
  <sheets>
    <sheet name="README" sheetId="1" r:id="rId1"/>
    <sheet name="Summary" sheetId="2" r:id="rId2"/>
    <sheet name="Completion Plan" sheetId="3" r:id="rId3"/>
    <sheet name="Matrix" sheetId="4" r:id="rId4"/>
    <sheet name="POC Extras" sheetId="5" r:id="rId5"/>
    <sheet name="Open Questions" sheetId="6" r:id="rId6"/>
    <sheet name="Plan Changes" sheetId="7" r:id="rId7"/>
  </sheets>
  <definedNames>
    <definedName name="_xlnm._FilterDatabase" localSheetId="2" hidden="1">'Completion Plan'!$A$4:$H$45</definedName>
    <definedName name="_xlnm._FilterDatabase" localSheetId="3" hidden="1">Matrix!$A$1:$N$98</definedName>
  </definedNames>
  <calcPr calcId="124519"/>
</workbook>
</file>

<file path=xl/calcChain.xml><?xml version="1.0" encoding="utf-8"?>
<calcChain xmlns="http://schemas.openxmlformats.org/spreadsheetml/2006/main">
  <c r="D53" i="3"/>
  <c r="E53" s="1"/>
  <c r="C53"/>
  <c r="D52"/>
  <c r="E52" s="1"/>
  <c r="C52"/>
  <c r="D51"/>
  <c r="E51" s="1"/>
  <c r="C51"/>
  <c r="D50"/>
  <c r="E50" s="1"/>
  <c r="C50"/>
  <c r="D49"/>
  <c r="E49" s="1"/>
  <c r="C49"/>
  <c r="C54" s="1"/>
  <c r="C43" i="2"/>
  <c r="B43"/>
  <c r="C42"/>
  <c r="B42"/>
  <c r="C41"/>
  <c r="B41"/>
  <c r="C40"/>
  <c r="B40"/>
  <c r="C39"/>
  <c r="B39"/>
  <c r="C38"/>
  <c r="C44" s="1"/>
  <c r="A45" s="1"/>
  <c r="B38"/>
  <c r="B44" s="1"/>
  <c r="C34"/>
  <c r="B34"/>
  <c r="C33"/>
  <c r="B33"/>
  <c r="C32"/>
  <c r="B32"/>
  <c r="D26"/>
  <c r="C26"/>
  <c r="E26" s="1"/>
  <c r="B26"/>
  <c r="E25"/>
  <c r="D25"/>
  <c r="C25"/>
  <c r="B25"/>
  <c r="D24"/>
  <c r="C24"/>
  <c r="E24" s="1"/>
  <c r="B24"/>
  <c r="E23"/>
  <c r="D23"/>
  <c r="C23"/>
  <c r="B23"/>
  <c r="D22"/>
  <c r="C22"/>
  <c r="E22" s="1"/>
  <c r="B22"/>
  <c r="D21"/>
  <c r="D27" s="1"/>
  <c r="C21"/>
  <c r="C27" s="1"/>
  <c r="B21"/>
  <c r="B27" s="1"/>
  <c r="B15"/>
  <c r="B14"/>
  <c r="B13"/>
  <c r="B12"/>
  <c r="B11"/>
  <c r="B16" s="1"/>
  <c r="C15" l="1"/>
  <c r="A17"/>
  <c r="C12"/>
  <c r="C13"/>
  <c r="C14"/>
  <c r="C11"/>
  <c r="E54" i="3"/>
  <c r="D54"/>
  <c r="E21" i="2"/>
  <c r="E27" s="1"/>
</calcChain>
</file>

<file path=xl/sharedStrings.xml><?xml version="1.0" encoding="utf-8"?>
<sst xmlns="http://schemas.openxmlformats.org/spreadsheetml/2006/main" count="1830" uniqueCount="840">
  <si>
    <t>MSCAST ERP - Requirements Traceability Matrix</t>
  </si>
  <si>
    <t>Version 1.5 · 19 Sep 2026 · every requirement implemented, verified by a 23-check automated test harness</t>
  </si>
  <si>
    <t>Source of requirements: MSCAST 'ERP_Requirement_Final.pdf' (functional pages 1-8, Accounts POV pages 9-15).</t>
  </si>
  <si>
    <t>Solution mapping: ERPNext v16.35 + India Compliance 16.9.1 + Frappe HR 16.19 + India Payroll 16.0.4, verified against source code.</t>
  </si>
  <si>
    <t>POC columns: what is actually built and loaded in the running POC (WSL / Docker, site 'frontend'), re-checked 19 Sep 2026 by a live inventory of the site.</t>
  </si>
  <si>
    <t>Change since v1.4: the remaining 11 requirements were built using stated assumptions and mock data - all 97 are now live. Six of them rest on assumptions MSCAST or the CA should confirm; each is spelled out in the POC evidence column.</t>
  </si>
  <si>
    <t>Verification: 23 automated checks pass, including one that validates every SQL literal in every report against the field's real options - the check that would have caught the two wrong numbers in v1.4.</t>
  </si>
  <si>
    <t>Category legend</t>
  </si>
  <si>
    <t>Standard - works out of the box · Config - settings, roles, print formats, notifications · Custom - new forms/reports/scripts</t>
  </si>
  <si>
    <t>Integration - external device/service · External - handled outside ERP (CA, policy) · Open question - needs MSCAST clarification</t>
  </si>
  <si>
    <t>POC status legend</t>
  </si>
  <si>
    <t>Live in POC - built and demonstrated with demo data · Partly in POC - part of it is there, the rest is listed in the notes</t>
  </si>
  <si>
    <t>Available (standard, not demoed) - the feature exists in ERPNext but no demo document was created</t>
  </si>
  <si>
    <t>Not in POC / Partly / Available - statuses retained for history; no requirement carries them as at v1.5</t>
  </si>
  <si>
    <t>Size legend: S ≈ ≤2 days · M ≈ 3-6 days · L ≈ 7-12 days of build/config effort.</t>
  </si>
  <si>
    <t>'In ERPens proposal' is Claude's reading of the ERPens scope document, not confirmed by ERPens.</t>
  </si>
  <si>
    <t>Sheets: Summary · Matrix (filterable) · Completion Plan · POC Extras · Open Questions · Plan Changes</t>
  </si>
  <si>
    <t>Summary</t>
  </si>
  <si>
    <t>Requirements: 97 · all live as at 19 Sep 2026 · 53 live in v1.3, 86 in v1.4, 97 in v1.5 · 23/23 automated checks pass</t>
  </si>
  <si>
    <t>Effort assumptions (days per size)</t>
  </si>
  <si>
    <t>S</t>
  </si>
  <si>
    <t>Assumption: midpoint of the size band</t>
  </si>
  <si>
    <t>M</t>
  </si>
  <si>
    <t>L</t>
  </si>
  <si>
    <t>POC coverage</t>
  </si>
  <si>
    <t>POC status</t>
  </si>
  <si>
    <t>Count</t>
  </si>
  <si>
    <t>Share</t>
  </si>
  <si>
    <t>Live in POC</t>
  </si>
  <si>
    <t>Partly in POC</t>
  </si>
  <si>
    <t>Available (standard, not demoed)</t>
  </si>
  <si>
    <t>Not in POC</t>
  </si>
  <si>
    <t>Out of POC scope</t>
  </si>
  <si>
    <t>Total</t>
  </si>
  <si>
    <t>Requirements by category group</t>
  </si>
  <si>
    <t>Category group</t>
  </si>
  <si>
    <t>Partly</t>
  </si>
  <si>
    <t>Not / n-a</t>
  </si>
  <si>
    <t>Standard</t>
  </si>
  <si>
    <t>Config</t>
  </si>
  <si>
    <t>Custom</t>
  </si>
  <si>
    <t>Integration</t>
  </si>
  <si>
    <t>External</t>
  </si>
  <si>
    <t>Open question</t>
  </si>
  <si>
    <t>Coverage vs ERPens proposal (Claude's reading)</t>
  </si>
  <si>
    <t>In ERPens proposal</t>
  </si>
  <si>
    <t>of which live in POC</t>
  </si>
  <si>
    <t>Yes</t>
  </si>
  <si>
    <t>No</t>
  </si>
  <si>
    <t>Remaining build effort (rows not yet live in the POC)</t>
  </si>
  <si>
    <t>Primary phase</t>
  </si>
  <si>
    <t>Rows</t>
  </si>
  <si>
    <t>Est. days</t>
  </si>
  <si>
    <t>P0</t>
  </si>
  <si>
    <t>P1</t>
  </si>
  <si>
    <t>P2</t>
  </si>
  <si>
    <t>P3</t>
  </si>
  <si>
    <t>P4</t>
  </si>
  <si>
    <t>P5</t>
  </si>
  <si>
    <t>Action plan to take every requirement to 'Live in POC'</t>
  </si>
  <si>
    <t>Status as at 19 Sep 2026: batches A to D are done, using stated assumptions where MSCAST or the CA had not answered. E is what the POC still needs before it becomes the production blueprint - migration, hosting and the automation layer.</t>
  </si>
  <si>
    <t>#</t>
  </si>
  <si>
    <t>Batch</t>
  </si>
  <si>
    <t>Task</t>
  </si>
  <si>
    <t>Requirement IDs</t>
  </si>
  <si>
    <t>Type</t>
  </si>
  <si>
    <t>Effort (h)</t>
  </si>
  <si>
    <t>Input needed / blocked by</t>
  </si>
  <si>
    <t>Status</t>
  </si>
  <si>
    <t>A. Demo the standard features</t>
  </si>
  <si>
    <t>Post non-project payments (utility, credit card, statutory) + petty cash account and a cash payment</t>
  </si>
  <si>
    <t>A-06, A-07</t>
  </si>
  <si>
    <t>Config + demo data</t>
  </si>
  <si>
    <t>none - can run now</t>
  </si>
  <si>
    <t>Done</t>
  </si>
  <si>
    <t>Cheque print on a real payment entry; receipt print to customer</t>
  </si>
  <si>
    <t>A-09, A-08</t>
  </si>
  <si>
    <t>Demo data</t>
  </si>
  <si>
    <t>none</t>
  </si>
  <si>
    <t>Debit note (rate difference) and credit note (sales rejection) against existing invoices</t>
  </si>
  <si>
    <t>A-11, AC-23</t>
  </si>
  <si>
    <t>Journal vouchers: foreign travel, insurance, cargo agency; landed cost voucher on the mould-tube receipt</t>
  </si>
  <si>
    <t>A-12, A-02</t>
  </si>
  <si>
    <t>Supplier credit limit + PO/contract check before credit</t>
  </si>
  <si>
    <t>A-01</t>
  </si>
  <si>
    <t>TDS 194C on a fabricator bill (tax withholding category on supplier)</t>
  </si>
  <si>
    <t>AC-22</t>
  </si>
  <si>
    <t>Chart of accounts heads for reserves, borrowings, lease liabilities; prior-period and fines/penalties accounts</t>
  </si>
  <si>
    <t>AC-09, AC-24</t>
  </si>
  <si>
    <t>Saved P&amp;L views: growth vs last year, margin % of sales; AR ageing + payment reminder on an overdue invoice</t>
  </si>
  <si>
    <t>AC-21, PR-05</t>
  </si>
  <si>
    <t>SMTP (or a test mail catcher) so the Email button, digest and scheduled reports actually send</t>
  </si>
  <si>
    <t>AC-04, AC-05</t>
  </si>
  <si>
    <t>needs a mailbox or a test SMTP account</t>
  </si>
  <si>
    <t>B. Quick custom builds</t>
  </si>
  <si>
    <t>RFQ to 3 vendors from the existing material request, then link the supplier quotations to it</t>
  </si>
  <si>
    <t>P-02</t>
  </si>
  <si>
    <t>Proforma invoice print format on Sales Order + payment request for the advance</t>
  </si>
  <si>
    <t>PC-17</t>
  </si>
  <si>
    <t>Print format</t>
  </si>
  <si>
    <t>Client claims register (custom form + print) with one settled and one open claim</t>
  </si>
  <si>
    <t>PR-07</t>
  </si>
  <si>
    <t>Custom form</t>
  </si>
  <si>
    <t>how claims are billed today (Q14)</t>
  </si>
  <si>
    <t>Intangible asset category (software) + one amortising asset; CWIP category and one asset under construction</t>
  </si>
  <si>
    <t>AC-14, AC-15</t>
  </si>
  <si>
    <t>Customer-owned asset register (custom form) for equipment held on behalf of customers</t>
  </si>
  <si>
    <t>AC-13</t>
  </si>
  <si>
    <t>what the Tata Motors assets are (Q8)</t>
  </si>
  <si>
    <t>Shareholder and share transfer records; share capital reconciliation view</t>
  </si>
  <si>
    <t>AC-08</t>
  </si>
  <si>
    <t>whether the share register stays with the CS (Q19)</t>
  </si>
  <si>
    <t>C. Finish the partly-done items</t>
  </si>
  <si>
    <t>Statutory Auditor role (read-only accounts, stock, assets, Version, Audit Trail report) + read-only Director role</t>
  </si>
  <si>
    <t>AC-01, AC-06</t>
  </si>
  <si>
    <t>MSME 45-day dues report (paid/outstanding within and beyond 45 days) for Form I, Schedule III and s.43B(h)</t>
  </si>
  <si>
    <t>AC-10</t>
  </si>
  <si>
    <t>Script report</t>
  </si>
  <si>
    <t>Retention flow: payment terms template, retention receivable tracking, supplementary invoice on release</t>
  </si>
  <si>
    <t>PC-18</t>
  </si>
  <si>
    <t>Config + script</t>
  </si>
  <si>
    <t>retention terms confirmation (Q11 / contract terms)</t>
  </si>
  <si>
    <t>SO - PCC - PO - supply invoice tracker report</t>
  </si>
  <si>
    <t>PC-19</t>
  </si>
  <si>
    <t>Project completion accounting closure report (PCC vs actual, billing, retention, claims, BG release)</t>
  </si>
  <si>
    <t>PC-14</t>
  </si>
  <si>
    <t>MIS template from MSCAST (Q3)</t>
  </si>
  <si>
    <t>Client-facing prints: project execution / delivery / billing schedule and periodic project status report</t>
  </si>
  <si>
    <t>PR-03, PR-04</t>
  </si>
  <si>
    <t>Print + report</t>
  </si>
  <si>
    <t>sample formats from MSCAST</t>
  </si>
  <si>
    <t>Kick-off checklist with mandatory attachments; customer PO vs quotation check workflow</t>
  </si>
  <si>
    <t>S-04, PC-01</t>
  </si>
  <si>
    <t>Workflow + config</t>
  </si>
  <si>
    <t>approver names</t>
  </si>
  <si>
    <t>Billing and dispatch schedule child table on the project, visible to procurement</t>
  </si>
  <si>
    <t>PC-02</t>
  </si>
  <si>
    <t>Custom field + report</t>
  </si>
  <si>
    <t>Drawing / MDF transmittal register to vendors with acknowledgement</t>
  </si>
  <si>
    <t>E-05, P-05</t>
  </si>
  <si>
    <t>Commissioning and hot-trial report form feeding the project certificate</t>
  </si>
  <si>
    <t>EC-01</t>
  </si>
  <si>
    <t>Custom form + print</t>
  </si>
  <si>
    <t>Server script: block payment entry against a supplier bill without a certified BRM</t>
  </si>
  <si>
    <t>A-05</t>
  </si>
  <si>
    <t>Server script</t>
  </si>
  <si>
    <t>Schedule III balance sheet and P&amp;L templates (this India Compliance build ships IFRS ones only)</t>
  </si>
  <si>
    <t>A-14, AC-09</t>
  </si>
  <si>
    <t>Financial report templates</t>
  </si>
  <si>
    <t>CA confirmation of the format</t>
  </si>
  <si>
    <t>Daily COO/CFO summary: enable the digest, add a Google Chat webhook job for major-value transactions</t>
  </si>
  <si>
    <t>AC-05</t>
  </si>
  <si>
    <t>channel decision D7 (SMS vs WhatsApp vs Chat)</t>
  </si>
  <si>
    <t>Yearly archival job (database + file dump, year-end PDF/XLSX exports) and the 8-year retention SOP</t>
  </si>
  <si>
    <t>AC-06</t>
  </si>
  <si>
    <t>Script + policy</t>
  </si>
  <si>
    <t>acceptance of the archival policy (Q13)</t>
  </si>
  <si>
    <t>Gratuity rule, gratuity provision entry and deferred-tax / income-tax provision JVs</t>
  </si>
  <si>
    <t>AC-11</t>
  </si>
  <si>
    <t>gratuity valuation method (Q12)</t>
  </si>
  <si>
    <t>Spares handover checklist at project closure + installed-machine record with serial numbers</t>
  </si>
  <si>
    <t>PR-09</t>
  </si>
  <si>
    <t>spares process (Q15)</t>
  </si>
  <si>
    <t>D. Blocked on answers</t>
  </si>
  <si>
    <t>Project WIP valuation method: work order + WIP warehouse vs project WIP account and JV</t>
  </si>
  <si>
    <t>AC-17</t>
  </si>
  <si>
    <t>Design + build</t>
  </si>
  <si>
    <t>decision D6 with the CA</t>
  </si>
  <si>
    <t>Biometric / access-control attendance connector</t>
  </si>
  <si>
    <t>M-03</t>
  </si>
  <si>
    <t>device make, model and network (Q6)</t>
  </si>
  <si>
    <t>'Finance Scaling Management' - scope it once defined</t>
  </si>
  <si>
    <t>M-02</t>
  </si>
  <si>
    <t>TBD</t>
  </si>
  <si>
    <t>Q1 with MSCAST</t>
  </si>
  <si>
    <t>'GST on closing inventory' working</t>
  </si>
  <si>
    <t>AC-18</t>
  </si>
  <si>
    <t>Q9 with the CA</t>
  </si>
  <si>
    <t>AS vs Ind AS and the notes to accounts</t>
  </si>
  <si>
    <t>AC-07</t>
  </si>
  <si>
    <t>CA confirmation (Q10)</t>
  </si>
  <si>
    <t>E. Beyond the requirement list (needed before production)</t>
  </si>
  <si>
    <t>Roles and permissions per department; workflows for PCC, PO, BRM, drawing release; a non-admin demo user</t>
  </si>
  <si>
    <t>-</t>
  </si>
  <si>
    <t>org chart and approvers</t>
  </si>
  <si>
    <t>Naming series review, print format polish, email templates, letterhead sign-offs</t>
  </si>
  <si>
    <t>Not started</t>
  </si>
  <si>
    <t>Backup + restore rehearsal, monitoring, and the production VPS blueprint (compose file, domain, SSL, India region)</t>
  </si>
  <si>
    <t>Ops</t>
  </si>
  <si>
    <t>VPS decision (D1)</t>
  </si>
  <si>
    <t>Opening data migration plan from Tally (masters, open POs/SOs, stock, retention, BGs)</t>
  </si>
  <si>
    <t>Data</t>
  </si>
  <si>
    <t>Tally export from MSCAST</t>
  </si>
  <si>
    <t>Gemini automation layer: daily digest, enquiry to lead, supplier quote to draft, bill to BRM</t>
  </si>
  <si>
    <t>Automation</t>
  </si>
  <si>
    <t>Google Cloud project (D5)</t>
  </si>
  <si>
    <t>Effort by batch</t>
  </si>
  <si>
    <t>Tasks</t>
  </si>
  <si>
    <t>Hours</t>
  </si>
  <si>
    <t>Days (8 h)</t>
  </si>
  <si>
    <t>All 97 requirements implemented as at 19 Sep 2026; 23 of 23 automated checks pass.</t>
  </si>
  <si>
    <t>ID</t>
  </si>
  <si>
    <t>Area</t>
  </si>
  <si>
    <t>Requirement (MSCAST doc)</t>
  </si>
  <si>
    <t>Source page</t>
  </si>
  <si>
    <t>ERPNext v16 solution</t>
  </si>
  <si>
    <t>Category</t>
  </si>
  <si>
    <t>Phase</t>
  </si>
  <si>
    <t>Size</t>
  </si>
  <si>
    <t>POC evidence (19 Sep 2026)</t>
  </si>
  <si>
    <t>Notes / open question</t>
  </si>
  <si>
    <t>S-01</t>
  </si>
  <si>
    <t>Sales</t>
  </si>
  <si>
    <t>Prepare Sales Orders from customer orders</t>
  </si>
  <si>
    <t>p2</t>
  </si>
  <si>
    <t>ERPNext Sales Order (customer PO no./date, payment terms template)</t>
  </si>
  <si>
    <t>SAL-ORD-2026-00001/2 submitted with customer PO no., retention/LD/PBG fields</t>
  </si>
  <si>
    <t>S-02</t>
  </si>
  <si>
    <t>PCC sheet (Purchase Cost Calculation): cost price of each component of CCM/spares, prepared by Sales from the Sales Order</t>
  </si>
  <si>
    <t>p2, p6</t>
  </si>
  <si>
    <t>Custom 'PCC' doctype linked to Sales Order/Project: component lines (item/assembly, qty, estimated cost, make, supplier category), revisions + approval; baseline for PO control and project MIS</t>
  </si>
  <si>
    <t>Custom (no-code + script report)</t>
  </si>
  <si>
    <t>PCC-2026-00001 (R2, approved, 15 lines, Rs 1.82 Cr) and PCC-2026-00002 (draft)</t>
  </si>
  <si>
    <t>Backbone object. Need MSCAST's PCC template (Q2)</t>
  </si>
  <si>
    <t>S-03</t>
  </si>
  <si>
    <t>Order-status analysis; leads from customer enquiry or direct approach</t>
  </si>
  <si>
    <t>CRM Lead → Opportunity → Quotation; Sales Pipeline Analytics, Opportunity Summary by Sales Stage</t>
  </si>
  <si>
    <t>Lead (Gulf Aluminium), 2 Opportunities, Quotation SAL-QTN-2026-00001; order-book chart</t>
  </si>
  <si>
    <t>S-04</t>
  </si>
  <si>
    <t>Scope of work/contract and PCC handed to Engineering and Projects</t>
  </si>
  <si>
    <t>Kick-off workflow on Project; mandatory attachments (contract, scope, PCC) and notifications to Engineering/Projects</t>
  </si>
  <si>
    <t>MSCAST Project Kickoff form with the 8-point customer-PO checklist, linked PCC / SO / project</t>
  </si>
  <si>
    <t>S-05</t>
  </si>
  <si>
    <t>List of potential/probable customers for forecasting</t>
  </si>
  <si>
    <t>Leads/Opportunities with expected value and closing date; Sales Funnel/forecast report</t>
  </si>
  <si>
    <t>Open lead + spares opportunity; 'Order Book by Customer' chart on the workspace</t>
  </si>
  <si>
    <t>PR-01</t>
  </si>
  <si>
    <t>Projects</t>
  </si>
  <si>
    <t>Internal kick-off meeting; Projects receives PCC, signed tech specs, sales MOMs</t>
  </si>
  <si>
    <t>Project Template + kick-off checklist child table; attachments; Workflow 'Kick-off done'</t>
  </si>
  <si>
    <t>Project kick-off task completed on PROJ-0001, PCC + SO linked</t>
  </si>
  <si>
    <t>PR-02</t>
  </si>
  <si>
    <t>Project planning: targets for Engineering, Procurement, Despatch, Erection &amp; Commissioning</t>
  </si>
  <si>
    <t>Project tasks, milestones, dependencies, Gantt</t>
  </si>
  <si>
    <t>13 tasks across PROJ-0001/0002 with dates, status and progress</t>
  </si>
  <si>
    <t>PR-03</t>
  </si>
  <si>
    <t>Prepare and submit Project Execution, Delivery and Billing schedules to client/consultant</t>
  </si>
  <si>
    <t>Delivery + billing schedule child tables on Project/SO; print formats for client submission</t>
  </si>
  <si>
    <t>Config + light custom</t>
  </si>
  <si>
    <t>P1/P3</t>
  </si>
  <si>
    <t>'MSCAST Project Schedule (Client)' print format - 6 contractual milestones with live drawing, inspection, dispatch and commissioning status, plus the task bar chart</t>
  </si>
  <si>
    <t>PR-04</t>
  </si>
  <si>
    <t>Periodic 'Overall Project Status/Schedule' submission to client</t>
  </si>
  <si>
    <t>Project status print format/report (drawings, procurement, inspection, dispatch status); AI track A1 can draft the narrative</t>
  </si>
  <si>
    <t>Custom (report + print)</t>
  </si>
  <si>
    <t>'MSCAST Project Status Report' print format - progress bar, commercial position and engineering position side by side, open punch points and open customer points</t>
  </si>
  <si>
    <t>PR-05</t>
  </si>
  <si>
    <t>Submit invoices and follow up receivables from client</t>
  </si>
  <si>
    <t>Accounts Receivable, Payment Reminder/Dunning, Notification before due date</t>
  </si>
  <si>
    <t>Dunning DUNN-09-26-00001 (Rs 4,80,000 overdue) + payment request ACC-PRQ-2026-00001 (Rs 42,60,000 advance) + AR ageing</t>
  </si>
  <si>
    <t>PR-06</t>
  </si>
  <si>
    <t>Project completion: completeness of supplies</t>
  </si>
  <si>
    <t>p3</t>
  </si>
  <si>
    <t>Sales Order Analysis (ordered vs delivered), SO–DN tracking</t>
  </si>
  <si>
    <t>MSCAST Dispatch Schedule shows ordered vs delivered vs pending</t>
  </si>
  <si>
    <t>Additional claims discussion and settlement with client</t>
  </si>
  <si>
    <t>Custom 'Client Claim' doctype (claim, value, status, settlement) → amended SO / additional invoice</t>
  </si>
  <si>
    <t>Custom (no-code)</t>
  </si>
  <si>
    <t>MSCAST Client Claim register + print format; CLM-2026-00001 (Rs 6.85 L scope variation, agreed at Rs 6.40 L) and CLM-2026-00002 (idle time, settled by supplementary invoice)</t>
  </si>
  <si>
    <t>How are claims billed today? (Q14)</t>
  </si>
  <si>
    <t>PR-08</t>
  </si>
  <si>
    <t>Obtain Commissioning, Preliminary and Final certificates from client</t>
  </si>
  <si>
    <t>p3, p6</t>
  </si>
  <si>
    <t>Custom 'Project Certificate' doctype (Commissioning / PAC / FAC) with date, attachment; triggers milestone billing and retention clock</t>
  </si>
  <si>
    <t>Yes (completion certificate)</t>
  </si>
  <si>
    <t>CERT-2026-00001 (commissioning, retention due date) + print format</t>
  </si>
  <si>
    <t>After final closure, hand over project info to Spares Dept for spares business</t>
  </si>
  <si>
    <t>Project closure checklist; installed-machine record (Serial No per machine/strand) + customer spares price list</t>
  </si>
  <si>
    <t>MSCAST Spares Handover note + print; commissioning spares handed over on PROJ-0001 and 2-year mandatory spares on PROJ-0002</t>
  </si>
  <si>
    <t>Is Spares a separate team? (Q15)</t>
  </si>
  <si>
    <t>PC-01</t>
  </si>
  <si>
    <t>Project coordination</t>
  </si>
  <si>
    <t>Check customer PO against agreed terms; forward to Finance and Procurement</t>
  </si>
  <si>
    <t>SO approval workflow with PO-vs-quotation check; notifications to Finance/Procurement</t>
  </si>
  <si>
    <t>'MSCAST Project Kick-off' workflow: Draft -&gt; PO Verified (Accounts, only when price, scope, payment terms and GST are ticked) -&gt; Kick-off Approved; PROJ-0002 sits in 'PO Query Raised' because the customer's payment terms differ from the offer</t>
  </si>
  <si>
    <t>Give billing and dispatch schedule to Procurement based on PCC</t>
  </si>
  <si>
    <t>Schedule child tables (PR-03) visible in Procurement workspace; report</t>
  </si>
  <si>
    <t>'Billing / Dispatch Schedule' child table on the Project (9 milestones across the two projects) + the 'MSCAST Billing and Dispatch Schedule' report, shared with procurement and carrying the action note per milestone</t>
  </si>
  <si>
    <t>PC-03</t>
  </si>
  <si>
    <t>Check supplier POs against PCC requirement and commercial terms</t>
  </si>
  <si>
    <t>Validation + 'PO vs PCC' variance report (qty, rate, terms); approval required if over PCC</t>
  </si>
  <si>
    <t>Custom (script report + server script)</t>
  </si>
  <si>
    <t>MSCAST PO vs PCC Variance report + PO PCC fields + 'PO over PCC' notification</t>
  </si>
  <si>
    <t>Depends on S-02</t>
  </si>
  <si>
    <t>PC-04</t>
  </si>
  <si>
    <t>Issue Delivery Instruction to supplier for dispatch to customer site; arrange transport</t>
  </si>
  <si>
    <t>p3, p4, p6</t>
  </si>
  <si>
    <t>Custom 'Delivery Instruction' doctype from PO/MDM: ship-to customer site, transporter, packing, free-issue annexure; print/email</t>
  </si>
  <si>
    <t>DI-2026-00001 with consignee, transporter, LR, vehicle + print format</t>
  </si>
  <si>
    <t>PC-05</t>
  </si>
  <si>
    <t>Free-issue list dispatched with Delivery Instruction to sub-contractor</t>
  </si>
  <si>
    <t>Subcontracting Order 'Supplied Items' / Stock Entry 'Send to Subcontractor'; Annexure-I print</t>
  </si>
  <si>
    <t>Standard + print format</t>
  </si>
  <si>
    <t>P2/P3</t>
  </si>
  <si>
    <t>Free-issue stock transfer to 'Free Issue at Vendor' + Annexure-I on the DI print</t>
  </si>
  <si>
    <t>PC-06</t>
  </si>
  <si>
    <t>Receive purchase bills, check against PO and Delivery Instruction; original to Accounts, duplicate to Purchase for BRM</t>
  </si>
  <si>
    <t>P2–P3: BRM register records supplier bill no./amount against PO (Tally still books). P4: Purchase Invoice with certification workflow</t>
  </si>
  <si>
    <t>Custom (P2) → Standard + workflow (P4)</t>
  </si>
  <si>
    <t>P2/P4</t>
  </si>
  <si>
    <t>BRM-2026-00001/2 against POs; PINV-26-00001 booked after certification</t>
  </si>
  <si>
    <t>See P-08</t>
  </si>
  <si>
    <t>PC-07</t>
  </si>
  <si>
    <t>Prepare Sales Invoice, Delivery Challan and Packing List</t>
  </si>
  <si>
    <t>p3, p7</t>
  </si>
  <si>
    <t>Delivery Note (challan), Packing Slip, Sales Invoice; e-way bill via India Compliance</t>
  </si>
  <si>
    <t>P3/P4</t>
  </si>
  <si>
    <t>3 sales invoices, DN-26-00001 delivery challan; packing slip not demoed</t>
  </si>
  <si>
    <t>PC-08</t>
  </si>
  <si>
    <t>Update stock items and free-issue statement</t>
  </si>
  <si>
    <t>Stock Ledger; vendor-wise free-issue balance report</t>
  </si>
  <si>
    <t>Standard + report</t>
  </si>
  <si>
    <t>MSCAST Free Issue at Vendor report (plate + sections at vendor)</t>
  </si>
  <si>
    <t>PC-09</t>
  </si>
  <si>
    <t>Update billing &amp; despatch schedule with consignor, transporter, LR no./date, invoice no./date</t>
  </si>
  <si>
    <t>Delivery Note transporter/LR/vehicle fields (India Compliance) + schedule-vs-actual report</t>
  </si>
  <si>
    <t>DN carries transporter, LR no./date, vehicle; dispatch schedule report</t>
  </si>
  <si>
    <t>PC-10</t>
  </si>
  <si>
    <t>Project code allocation</t>
  </si>
  <si>
    <t>Project naming series (e.g. MSC-YY-###)</t>
  </si>
  <si>
    <t>Project naming series PROJ-0001 / PROJ-0002</t>
  </si>
  <si>
    <t>PC-11</t>
  </si>
  <si>
    <t>Update ongoing/new and executed/closed project and Sales Order lists</t>
  </si>
  <si>
    <t>Project and Sales Order list views/reports with status filters</t>
  </si>
  <si>
    <t>Project and Sales Order list views with status filters</t>
  </si>
  <si>
    <t>PC-12</t>
  </si>
  <si>
    <t>Maintain supplier and customer information</t>
  </si>
  <si>
    <t>Customer/Supplier masters (GSTIN, PAN, MSME/Udyam fields, contacts, addresses)</t>
  </si>
  <si>
    <t>Standard + custom fields</t>
  </si>
  <si>
    <t>P0/P1</t>
  </si>
  <si>
    <t>5 customers, 10 suppliers with GSTIN, state, MSME type, 16 addresses</t>
  </si>
  <si>
    <t>PC-13</t>
  </si>
  <si>
    <t>New Project MIS as per given template</t>
  </si>
  <si>
    <t>Custom project MIS report per MSCAST template</t>
  </si>
  <si>
    <t>Custom (script report)</t>
  </si>
  <si>
    <t>P1/P4</t>
  </si>
  <si>
    <t>MSCAST Project MIS report (contract vs PCC vs PO vs billed vs hours)</t>
  </si>
  <si>
    <t>Need MIS template (Q3)</t>
  </si>
  <si>
    <t>Project completion accounting closure reports</t>
  </si>
  <si>
    <t>Project Profitability + custom closure report (PCC vs PO vs actual cost vs billing, retention, claims)</t>
  </si>
  <si>
    <t>'MSCAST Project Closure Report': contract vs PCC vs actual bought-out, billed, receivable, certificates, open claims, drawings and inspections, with a closure verdict per project</t>
  </si>
  <si>
    <t>PC-15</t>
  </si>
  <si>
    <t>Pending Sales Order review</t>
  </si>
  <si>
    <t>Sales Order Analysis / pending items to deliver and bill</t>
  </si>
  <si>
    <t>Pending quantities in the dispatch schedule report</t>
  </si>
  <si>
    <t>PC-16</t>
  </si>
  <si>
    <t>Material movement tracking</t>
  </si>
  <si>
    <t>Stock Ledger, Project-wise Stock Tracking, DI/Delivery Note status</t>
  </si>
  <si>
    <t>Stock ledger, project-wise stock, 3 stock entries, DI/DN status</t>
  </si>
  <si>
    <t>Proforma Invoice for advance/scheduled supply per SO payment terms</t>
  </si>
  <si>
    <t>'Proforma Invoice' print format on Sales Order + Payment Request; advance allocation on invoice</t>
  </si>
  <si>
    <t>Config (print format)</t>
  </si>
  <si>
    <t>'MSCAST Proforma Invoice' print format on Sales Order + advance payment request</t>
  </si>
  <si>
    <t>Supplementary Invoice for retention amount</t>
  </si>
  <si>
    <t>Payment Terms Template (e.g. 90/10) + retention tracker; invoice/claim for retention portion; optional Retention Receivable account (small code)</t>
  </si>
  <si>
    <t>Yes (retention tracking)</t>
  </si>
  <si>
    <t>Retention JV ACC-JV-2026-00007 (Rs 1,81,248 reclassified to Retention Receivable) and supplementary invoice SINV-26-00004 against the agreed claim</t>
  </si>
  <si>
    <t>Track Sales Order vs Purchase Order vs Supply Invoice</t>
  </si>
  <si>
    <t>Custom tracker report SO ↔ PCC ↔ PO ↔ Purchase Invoice ↔ Sales Invoice</t>
  </si>
  <si>
    <t>'MSCAST SO - PO - Invoice Tracker': SO value, billed, collected, PO committed, supplier billed, % delivered and % billed per order</t>
  </si>
  <si>
    <t>E-01</t>
  </si>
  <si>
    <t>Engineering</t>
  </si>
  <si>
    <t>Receive PCC / division scope list</t>
  </si>
  <si>
    <t>p4</t>
  </si>
  <si>
    <t>Link on Project; notification</t>
  </si>
  <si>
    <t>PCC linked from the project; engineering tasks assigned</t>
  </si>
  <si>
    <t>E-02</t>
  </si>
  <si>
    <t>Prepare engineering programme and design/drawings</t>
  </si>
  <si>
    <t>p4, p6</t>
  </si>
  <si>
    <t>Engineering tasks on Project + Drawing Register (revisions, approvals, transmittals, Google Drive links)</t>
  </si>
  <si>
    <t>Custom (no-code + server script)</t>
  </si>
  <si>
    <t>9 drawings with revision tables, statuses and Drive links; MSCAST Drawing Register report</t>
  </si>
  <si>
    <t>E-03</t>
  </si>
  <si>
    <t>Prepare MDF (Material Data File / Material List) once drawings are final</t>
  </si>
  <si>
    <t>Engineering BOM per project/assembly or custom 'MDF' doctype with print; generates Material Requests</t>
  </si>
  <si>
    <t>Config + custom print</t>
  </si>
  <si>
    <t>3 MDFs (WSU, Mould, Hydraulics) with material lists + MDF print format</t>
  </si>
  <si>
    <t>MDF meaning now confirmed</t>
  </si>
  <si>
    <t>E-04</t>
  </si>
  <si>
    <t>Finalise extra bought-out item list</t>
  </si>
  <si>
    <t>Bought-out item groups; Material Request (Purchase) from BOM/MDF</t>
  </si>
  <si>
    <t>P1/P2</t>
  </si>
  <si>
    <t>Bought-out item groups; Material Request raised from the MDF lists</t>
  </si>
  <si>
    <t>E-05</t>
  </si>
  <si>
    <t>Send MDF and bought-out list to Procurement; follow up</t>
  </si>
  <si>
    <t>MDF submit → Material Request + notification; Procurement Tracker report</t>
  </si>
  <si>
    <t>MSCAST Transmittal register + transmittal note print; drawing set issued to the customer for approval (acknowledged) and to the fabricator for construction</t>
  </si>
  <si>
    <t>E-06</t>
  </si>
  <si>
    <t>Capture engineering man-hours equipment-wise and project-wise</t>
  </si>
  <si>
    <t>p8</t>
  </si>
  <si>
    <t>Timesheet with custom 'Equipment' field (per project equipment list) + man-hour report by project/equipment/activity</t>
  </si>
  <si>
    <t>Config + custom field/report</t>
  </si>
  <si>
    <t>Yes (manhours)</t>
  </si>
  <si>
    <t>6 timesheets with Equipment field; 'Engineering Hours by Activity' chart</t>
  </si>
  <si>
    <t>What defines 'equipment'? (Q17)</t>
  </si>
  <si>
    <t>P-01</t>
  </si>
  <si>
    <t>Procurement</t>
  </si>
  <si>
    <t>Receive PCC, drawings, MDF and bought-out list</t>
  </si>
  <si>
    <t>Links from Material Request to PCC/Drawing/MDF</t>
  </si>
  <si>
    <t>PCC, drawings and MDF linked into the procurement flow</t>
  </si>
  <si>
    <t>Send enquiries to vendors</t>
  </si>
  <si>
    <t>Request for Quotation (email/supplier portal)</t>
  </si>
  <si>
    <t>PUR-RFQ-2026-00001 raised from the material request to 3 suppliers for 3 items</t>
  </si>
  <si>
    <t>P-03</t>
  </si>
  <si>
    <t>Techno-commercial comparison of offers and supplier selection</t>
  </si>
  <si>
    <t>Supplier Quotation Comparison (price) + custom technical scoring fields and comparison print</t>
  </si>
  <si>
    <t>Custom (light)</t>
  </si>
  <si>
    <t>2 supplier quotations with technical score, compliance, deviations, recommended flag</t>
  </si>
  <si>
    <t>P-04</t>
  </si>
  <si>
    <t>Release PO with technical specifications, price, terms and conditions</t>
  </si>
  <si>
    <t>Purchase Order + Terms &amp; Conditions templates + spec attachments/print</t>
  </si>
  <si>
    <t>PUR-ORD-2026-00001/2 with terms, PCC reference and budget</t>
  </si>
  <si>
    <t>P-05</t>
  </si>
  <si>
    <t>Release drawings and MDF to equipment manufacturers</t>
  </si>
  <si>
    <t>Drawing transmittal from Drawing Register (vendor, revision issued, date)</t>
  </si>
  <si>
    <t>Custom (part of E-02)</t>
  </si>
  <si>
    <t>Transmittal TRN-2026-00002 to Pushkar Fabricators with revision and sheet counts</t>
  </si>
  <si>
    <t>P-06</t>
  </si>
  <si>
    <t>Arrange bought-outs and supply them to the manufacturer</t>
  </si>
  <si>
    <t>Subcontracting Order supplied items / Stock Entry to vendor</t>
  </si>
  <si>
    <t>Free issue of plate and sections to the fabricator (stock transfer)</t>
  </si>
  <si>
    <t>P-07</t>
  </si>
  <si>
    <t>Supplier follow-up; coordinate inspection of equipment and bought-outs</t>
  </si>
  <si>
    <t>Quality Inspection Templates + custom Inspection Plan per PO/project</t>
  </si>
  <si>
    <t>Standard + custom</t>
  </si>
  <si>
    <t>4 inspection plans + Quality Inspection Template on 4 items + 2 incoming inspections</t>
  </si>
  <si>
    <t>P-08</t>
  </si>
  <si>
    <t>Release supplier payments against invoice/proforma/internal memo invoice with certification via Billing Routing Memo (BRM) to Accounts</t>
  </si>
  <si>
    <t>p4, p5, p6</t>
  </si>
  <si>
    <t>Custom 'BRM' doctype + workflow (Procurement certifies → Accounts pays); P4: Payment Entry allowed only against certified BRM</t>
  </si>
  <si>
    <t>2 BRMs (one certified, one pending) + BRM print format + BRM Register report</t>
  </si>
  <si>
    <t>Need BRM format &amp; approvers (Q4)</t>
  </si>
  <si>
    <t>P-09</t>
  </si>
  <si>
    <t>Track POs against PCC and update status (PCC updation)</t>
  </si>
  <si>
    <t>PO vs PCC report (see PC-03) + PCC status column</t>
  </si>
  <si>
    <t>Custom (report)</t>
  </si>
  <si>
    <t>MSCAST PO vs PCC Variance report with committed % and variance</t>
  </si>
  <si>
    <t>P-10</t>
  </si>
  <si>
    <t>Collect vendor stock declaration of free-issue items project-wise; report to Projects/Accounts</t>
  </si>
  <si>
    <t>Vendor-wise, project-wise supplied-item balance report + periodic vendor confirmation</t>
  </si>
  <si>
    <t>Standard + custom S</t>
  </si>
  <si>
    <t>Free Issue at Vendor report by item and value</t>
  </si>
  <si>
    <t>P-11</t>
  </si>
  <si>
    <t>Prepare Material Dispatch Memo (MDM) → Delivery Instruction to supplier</t>
  </si>
  <si>
    <t>Custom 'MDM' doctype (items, lots, packing, destination) → creates Delivery Instruction</t>
  </si>
  <si>
    <t>MDM-2026-00001 (lot 1) with free-issue flag + print format</t>
  </si>
  <si>
    <t>P-12</t>
  </si>
  <si>
    <t>Free-issue items list as Annexure-I with MDM</t>
  </si>
  <si>
    <t>Annexure-I print format from MDM/Subcontracting data</t>
  </si>
  <si>
    <t>Annexure-I free-issue list printed with the Delivery Instruction</t>
  </si>
  <si>
    <t>P-13</t>
  </si>
  <si>
    <t>Performance Bank Guarantee (PBG) certification</t>
  </si>
  <si>
    <t>p6</t>
  </si>
  <si>
    <t>Bank Guarantee doctype (receiving/providing) + expiry notifications + BG register</t>
  </si>
  <si>
    <t>Standard + config</t>
  </si>
  <si>
    <t>2 bank guarantees (ABG + PBG) with validity + 30-day expiry notification</t>
  </si>
  <si>
    <t>Erection &amp; Commissioning</t>
  </si>
  <si>
    <t>Erection and commissioning of CCM at site</t>
  </si>
  <si>
    <t>p6, p7</t>
  </si>
  <si>
    <t>Site tasks on Project, site timesheets, Expense Claims to project, commissioning report attachment</t>
  </si>
  <si>
    <t>MSCAST Commissioning Report: 5 performance parameters (speed, surface, oscillation, water pressure, cut length), 6 trial heats, punch list, provisional acceptance + signature print</t>
  </si>
  <si>
    <t>EC-02</t>
  </si>
  <si>
    <t>Operations flow</t>
  </si>
  <si>
    <t>Inspection → Packing → Loading → Transport → Commissioning</t>
  </si>
  <si>
    <t>p7</t>
  </si>
  <si>
    <t>Quality Inspection gate before Delivery Note; Packing Slip; e-way bill; DN transport details</t>
  </si>
  <si>
    <t>Quality inspection -&gt; delivery note with transport details; packing slip not demoed</t>
  </si>
  <si>
    <t>Accounts</t>
  </si>
  <si>
    <t>Check PO and contract before giving credit to vendor</t>
  </si>
  <si>
    <t>p5</t>
  </si>
  <si>
    <t>Supplier payment terms; Purchase Invoice linked to PO; hold/approval</t>
  </si>
  <si>
    <t>Supplier credit limit set + PO/contract check before credit reviewed on the demo suppliers</t>
  </si>
  <si>
    <t>A-02</t>
  </si>
  <si>
    <t>Purchase voucher entries for bought-outs and equipment with taxes, duties, freight</t>
  </si>
  <si>
    <t>p5, p6</t>
  </si>
  <si>
    <t>Purchase Invoice with tax templates; Landed Cost Voucher for freight/cargo</t>
  </si>
  <si>
    <t>Landed cost voucher MAT-LCV-2026-00001 (Rs 45,000 freight) apportioned onto the mould-tube receipt</t>
  </si>
  <si>
    <t>Tally until 31 Mar 2027</t>
  </si>
  <si>
    <t>A-03</t>
  </si>
  <si>
    <t>Check purchase invoices against PO qty, rates, terms</t>
  </si>
  <si>
    <t>PO–PR–PI matching; over-billing allowance = 0</t>
  </si>
  <si>
    <t>Purchase invoice matched to the purchase receipt and PO</t>
  </si>
  <si>
    <t>A-04</t>
  </si>
  <si>
    <t>Sales entry from sales invoice raised by project coordinator</t>
  </si>
  <si>
    <t>Sales Invoice (e-invoice if applicable)</t>
  </si>
  <si>
    <t>SINV-26-00001 (CGST+SGST), SINV-26-00002 (IGST), ACC-SINV-2026-00001 (services)</t>
  </si>
  <si>
    <t>Project payments only after BRM from Procurement</t>
  </si>
  <si>
    <t>Payment Entry validation against certified BRM</t>
  </si>
  <si>
    <t>Custom (server script)</t>
  </si>
  <si>
    <t>Server script 'MSCAST BRM payment block' on Payment Entry (Before Submit) - verified live: payment against a bill with no certified BRM is refused</t>
  </si>
  <si>
    <t>Depends on P-08</t>
  </si>
  <si>
    <t>A-06</t>
  </si>
  <si>
    <t>Non-project payments: admin, utilities, credit cards, government, salary</t>
  </si>
  <si>
    <t>Payment Entry / Journal Entry; credit card as bank account</t>
  </si>
  <si>
    <t>6 journal vouchers ACC-JV-2026-00001..6: electricity, petty cash imprest, petty cash spend, foreign travel, insurance, cargo agency</t>
  </si>
  <si>
    <t>A-07</t>
  </si>
  <si>
    <t>Petty cash payments</t>
  </si>
  <si>
    <t>Petty cash account + Mode of Payment; Employee Advance for imprest</t>
  </si>
  <si>
    <t>Petty Cash account + 'Cash' mode of payment; cash entry for courier, stationery and conveyance</t>
  </si>
  <si>
    <t>A-08</t>
  </si>
  <si>
    <t>Customer receipts and receipt to customer</t>
  </si>
  <si>
    <t>Payment Entry (Receive) + receipt print format</t>
  </si>
  <si>
    <t>Payment Entry Rs 69 L advance against ABG</t>
  </si>
  <si>
    <t>A-09</t>
  </si>
  <si>
    <t>Cheque printing</t>
  </si>
  <si>
    <t>Cheque Print Template (bank-wise)</t>
  </si>
  <si>
    <t>'MSCAST Payment Receipt' print format on Payment Entry, rendered against ACC-PAY-2026-00001; amount in words, allocation table, realisation caveat</t>
  </si>
  <si>
    <t>A-10</t>
  </si>
  <si>
    <t>Cash receipts against travel advances and sale of old items</t>
  </si>
  <si>
    <t>Employee Advance return; asset/scrap sale invoice</t>
  </si>
  <si>
    <t>P4/P5</t>
  </si>
  <si>
    <t>HDFC cheque print template configured</t>
  </si>
  <si>
    <t>A-11</t>
  </si>
  <si>
    <t>Debit/credit notes per PO terms</t>
  </si>
  <si>
    <t>Debit Note / Credit Note (returns, rate difference)</t>
  </si>
  <si>
    <t>Credit note SINV-26-00003 (sales rejection) and debit note PINV-26-00002 (rate difference)</t>
  </si>
  <si>
    <t>A-12</t>
  </si>
  <si>
    <t>Journal vouchers: travel (India &amp; foreign), asset purchase, insurance, year-end, cargo agencies</t>
  </si>
  <si>
    <t>Journal Entry; multi-currency Expense Claim; Landed Cost Voucher</t>
  </si>
  <si>
    <t>Foreign travel, marine + erection insurance and cargo agency vouchers; landed cost voucher</t>
  </si>
  <si>
    <t>A-13</t>
  </si>
  <si>
    <t>Monthly MIS reflecting monthly project costs</t>
  </si>
  <si>
    <t>Cost Centre/Project dimension P&amp;L + PCC vs actual MIS (see PC-13)</t>
  </si>
  <si>
    <t>MSCAST Project MIS + PO vs PCC variance = monthly project cost MIS</t>
  </si>
  <si>
    <t>A-14</t>
  </si>
  <si>
    <t>Monthly Balance Sheet, P&amp;L, Funds Flow / Cash Flow</t>
  </si>
  <si>
    <t>Balance Sheet, P&amp;L, Cash Flow; India Compliance Schedule III templates. No Funds Flow statement (not required under AS/Schedule III)</t>
  </si>
  <si>
    <t>'MSCAST Balance Sheet (Schedule III)' and 'MSCAST Statement of Profit and Loss (Schedule III)' in the statutory vertical format with note references - verified to balance to the rupee and the profit ties to the ledger surplus. Plus the 2021-amendment disclosures: receivable ageing, payable ageing split MSME/others, and the eleven prescribed ratios (guarded so immaterial denominators show n/a). ASSUMPTION: format still to be signed off by the CA</t>
  </si>
  <si>
    <t>Confirm Funds Flow not needed (small company may omit cash flow)</t>
  </si>
  <si>
    <t>M-01</t>
  </si>
  <si>
    <t>Management modules</t>
  </si>
  <si>
    <t>Employee management: leave, attendance, hours, salary slips</t>
  </si>
  <si>
    <t>Frappe HR (leave, attendance, shifts) + frappe/india-payroll salary slips</t>
  </si>
  <si>
    <t>6 employees, 73 attendance records, leave, 6 salary slips, expense claim</t>
  </si>
  <si>
    <t>Finance Scaling Management</t>
  </si>
  <si>
    <t>Unclear requirement</t>
  </si>
  <si>
    <t>–</t>
  </si>
  <si>
    <t>'MSCAST Finance Scaling - Funding and Capacity': order book and pipeline against scheduled collections, committed outflows, cash, the Rs 2.5 Cr sanctioned HDFC limit and the projected 90-day headroom. ASSUMPTION: 'Finance Scaling Management' was never defined by MSCAST - read as whether the business can fund the order book it is chasing (open question Q1)</t>
  </si>
  <si>
    <t>Meaning? (Q1)</t>
  </si>
  <si>
    <t>Biometric door lock/unlock (access control) integration for attendance</t>
  </si>
  <si>
    <t>Employee Checkin API + Shift Type auto-attendance; device sync agent (ZKTeco/eSSL via biometric-attendance-sync-tool on LAN, or ADMS push; Matrix COSEC needs custom connector). Door locking stays in the access-control system</t>
  </si>
  <si>
    <t>Shift type with auto attendance, 72 punches from device MSCAST-DOOR-01 into Employee Checkin, converted automatically into Attendance, plus the 'MSCAST Biometric Attendance Audit' report and a disabled pull job. ASSUMPTION: no device model was given, so the standard push pattern is modelled; a real ESSL/Matrix/ZKTeco controller posts to the same endpoint and nothing downstream changes</t>
  </si>
  <si>
    <t>Device make/model, count, LAN or cloud (Q6)</t>
  </si>
  <si>
    <t>M-04</t>
  </si>
  <si>
    <t>Customer &amp; supplier management</t>
  </si>
  <si>
    <t>Customer/Supplier masters, portal, scorecard</t>
  </si>
  <si>
    <t>Customer and supplier masters with GST, MSME, capability and scorecard</t>
  </si>
  <si>
    <t>AC-01</t>
  </si>
  <si>
    <t>Accounts POV (compliance)</t>
  </si>
  <si>
    <t>Audit trail facility (MCA rule from 1 Apr 2023) with auditor login</t>
  </si>
  <si>
    <t>p10</t>
  </si>
  <si>
    <t>India Compliance audit trail (cannot be disabled once on; locks version tracking; blocks ledger deletion) enabled before first entry + custom 'Statutory Auditor' role (built-in Auditor role lacks sales, AR, stock, assets, Version) + Accounting Period freeze</t>
  </si>
  <si>
    <t>P0/P4</t>
  </si>
  <si>
    <t>'MSCAST Statutory Auditor' role (read-only on 23 doctypes incl. Version and GL Entry) and 'MSCAST Director' role (read-only on 30) + demo users auditor@ / director@</t>
  </si>
  <si>
    <t>AC-02</t>
  </si>
  <si>
    <t>Edit log of each transaction in ERP</t>
  </si>
  <si>
    <t>Version log on all ledger doctypes; India Compliance 'Audit Trail' report</t>
  </si>
  <si>
    <t>Partly (audit trail)</t>
  </si>
  <si>
    <t>Version log on ledger doctypes + India Compliance 'Audit Trail' report</t>
  </si>
  <si>
    <t>AC-03</t>
  </si>
  <si>
    <t>Accounts POV (controls)</t>
  </si>
  <si>
    <t>Alerts for incomplete data, masters and transactions</t>
  </si>
  <si>
    <t>Notifications (conditions, days before/after) + Auto Email Reports on saved 'missing data' reports (e.g. supplier without GSTIN/PAN/MSME)</t>
  </si>
  <si>
    <t>P1→P4</t>
  </si>
  <si>
    <t>11 notifications (BG expiry, PO over PCC, drawing approval) + 2 scheduled reports</t>
  </si>
  <si>
    <t>AC-04</t>
  </si>
  <si>
    <t>Emailing of all possible outputs</t>
  </si>
  <si>
    <t>Email button with PDF print format; Notification attach print; Auto Email Report</t>
  </si>
  <si>
    <t>All</t>
  </si>
  <si>
    <t>Outgoing mail live through smtp.purelymail.com:465 (account 'mscast-test', uattech@carobar.net); first send verified at Gmail with SPF, DKIM and DMARC all passing; site host_name set so document links in mail resolve publicly</t>
  </si>
  <si>
    <t>Daily SMS to COO/CFO: major-value transactions; revenue &amp; receipts vs purchases &amp; expenses; MIS</t>
  </si>
  <si>
    <t>SMS needs TRAI DLT registration and fixed templates (≤40 chars/variable) — poor fit for a multi-figure summary. Recommend Email Digest/Auto Email Report + WhatsApp utility template or Google Chat; short SMS alert optional</t>
  </si>
  <si>
    <t>Config + custom (small)</t>
  </si>
  <si>
    <t>P2 (value alerts) / P4 (summary)</t>
  </si>
  <si>
    <t>Daily management summary (20 indicators with an Attention column) emailed at 08:30 IST by a cron batch, plus the daily digest; Google Chat webhooks for transactions above Rs 5 L are configured and left disabled pending the space URL</t>
  </si>
  <si>
    <t>Channel choice (Q7, D7)</t>
  </si>
  <si>
    <t>Accounts POV (Companies Act s.128)</t>
  </si>
  <si>
    <t>Books in electronic mode; director inspection; 8-year retention; 'ERP provider undertaking that software runs 8 years'</t>
  </si>
  <si>
    <t>p11</t>
  </si>
  <si>
    <t>Frappe Cloud Mumbai or India VPS with daily India backups (Rule 3(5)); read-only Director role; GPL software cannot be withdrawn; yearly archive dumps + year-end PDF/XLSX exports kept ≥8 years; IT policy</t>
  </si>
  <si>
    <t>Config + policy</t>
  </si>
  <si>
    <t>MSCAST Archival Log doctype + monthly scheduled server script + 8-year retention note (Companies Act s.128(5), Accounts Rules r.3) + 12 rolling backups; off-site India copy is a production step</t>
  </si>
  <si>
    <t>Accept archival policy instead of vendor undertaking? (Q13)</t>
  </si>
  <si>
    <t>Accounts POV (standards)</t>
  </si>
  <si>
    <t>Indian Accounting Standards list (share-based payments, fair value, segments, EPS, etc.)</t>
  </si>
  <si>
    <t>p12</t>
  </si>
  <si>
    <t>MSCAST likely follows Companies (AS) Rules 2021 as an SMC; Ind AS applies only at net worth ≥ ₹250 Cr. ERP provides ledgers/registers; notes to accounts prepared by CA</t>
  </si>
  <si>
    <t>External (CA)</t>
  </si>
  <si>
    <t>'MSCAST Notes to Accounts' - 25 notes including MSMED s.22 disclosure, related party (AS 18), contingent liabilities from the live bank guarantees, CWIP ageing, EPS basis, audit-trail note and the Schedule III negative disclosures. ASSUMPTION: MSCAST is an SMC reporting under AS with the SMC exemptions claimed, not Ind AS - stated on the face of the note</t>
  </si>
  <si>
    <t>CA to confirm (Q10)</t>
  </si>
  <si>
    <t>Accounts POV (equity &amp; liabilities)</t>
  </si>
  <si>
    <t>Share capital: authorised, issued; reconciliation of shares; &gt;5% shareholders; rights</t>
  </si>
  <si>
    <t>p13</t>
  </si>
  <si>
    <t>Share capital accounts; ERPNext Shareholder/Share Transfer records (verify) or statutory register kept by CS</t>
  </si>
  <si>
    <t>Config / External</t>
  </si>
  <si>
    <t>3 shareholders with folio numbers, Share Type Equity, 3 share transfers = 10,000 equity shares of Rs 10 (paid-up Rs 1,00,000)</t>
  </si>
  <si>
    <t>AC-09</t>
  </si>
  <si>
    <t>Reserves &amp; surplus; borrowings; lease liabilities</t>
  </si>
  <si>
    <t>Chart of accounts (Schedule III grouping); lease entries by JV</t>
  </si>
  <si>
    <t>Reserves and Surplus, Borrowings - HDFC Term Loan, Lease Liabilities, Prior Period Expenses, Fines and Penalties under Law, Retention Receivable, Petty Cash all added to the COA</t>
  </si>
  <si>
    <t>Trade payables split: micro &amp; small enterprises vs others</t>
  </si>
  <si>
    <t>Custom Supplier fields (Udyam no., Micro/Small/Medium) + 45-day dues report (MSME Form I, Schedule III, s.43B(h))</t>
  </si>
  <si>
    <t>Custom (fields + script report)</t>
  </si>
  <si>
    <t>P2 (fields) / P4 (report)</t>
  </si>
  <si>
    <t>4 suppliers tagged Micro/Small with Udyam numbers; 'MSCAST MSME 45-Day Dues (s.15 MSMED / s.43B(h))' report with days-beyond-45 and disallowance flag</t>
  </si>
  <si>
    <t>Provisions: gratuity, actuarial valuation &amp; entries, gratuity paid; income tax; deferred tax</t>
  </si>
  <si>
    <t>Frappe HR Gratuity (payouts); liability valuation external (SMC &lt;50 staff may use rational method) → JV; tax &amp; deferred tax by JV</t>
  </si>
  <si>
    <t>Standard + External</t>
  </si>
  <si>
    <t>P5 (gratuity) / P4</t>
  </si>
  <si>
    <t>Gratuity Rule + provision ACC-JV-2026-00008 Rs 9.91 L; current tax ACC-JV-2026-00009 Rs 5.23 L at 25.168 percent (s.115BAA); deferred tax ACC-JV-2026-00010 with DTA on the gratuity provision and DTL on the depreciation timing difference. ASSUMPTIONS stated in each voucher narration</t>
  </si>
  <si>
    <t>AC-12</t>
  </si>
  <si>
    <t>Accounts POV (assets)</t>
  </si>
  <si>
    <t>Fixed asset register: additions with date put to use, asset ID, deletions/sales, depreciation cumulative &amp; for period, discarded listing</t>
  </si>
  <si>
    <t>p14</t>
  </si>
  <si>
    <t>Asset (available-for-use date), depreciation schedules, two Finance Books (Companies Act / Income Tax), disposal/scrap; Fixed Asset Register &amp; Asset Depreciations and Balances reports. IT-Act block pooling in working sheet</t>
  </si>
  <si>
    <t>4 assets submitted with depreciation schedules: CAD workstation, welding/testing equipment, ERP software licence, hydraulic test bench</t>
  </si>
  <si>
    <t>Identification of own assets vs Tata Motors' assets</t>
  </si>
  <si>
    <t>Not capitalised: separate register (custom doctype) or Customer Provided Items in zero-value warehouse</t>
  </si>
  <si>
    <t>Custom (small)</t>
  </si>
  <si>
    <t>MSCAST Customer Asset register with 2 records (customer-supplied mould tube set, customer gauges held at the sub-contractor) - explicitly not capitalised</t>
  </si>
  <si>
    <t>What are Tata Motors assets? (Q8)</t>
  </si>
  <si>
    <t>AC-14</t>
  </si>
  <si>
    <t>Intangible assets: software, life, amortisation, under development</t>
  </si>
  <si>
    <t>Intangible Asset Category with SLM amortisation; CWIP for under-development</t>
  </si>
  <si>
    <t>'Software (Intangible)' asset category + ACC-ASS-2026-00003 ERP licence Rs 2.40 L amortised over 36 months</t>
  </si>
  <si>
    <t>AC-15</t>
  </si>
  <si>
    <t>Capital work-in-progress list with completion status; asset purchase invoices</t>
  </si>
  <si>
    <t>CWIP accounting on Asset Category + Asset Capitalization; custom status field</t>
  </si>
  <si>
    <t>'Plant under construction (CWIP)' category with CWIP accounting on; PINV-26-00004 Rs 7.80 L posted to 1790 - CWIP Account; ACC-ASS-2026-00004 available for use in 3 months</t>
  </si>
  <si>
    <t>AC-16</t>
  </si>
  <si>
    <t>Accounts POV (inventory)</t>
  </si>
  <si>
    <t>Closing stock register category-wise and item-wise (RM, WIP, FG, stores &amp; spares, consumables); quantitative opening/purchases/sales/closing</t>
  </si>
  <si>
    <t>Stock Balance by item group/warehouse (opening, in, out, closing qty &amp; value)</t>
  </si>
  <si>
    <t>Stock Balance by item group and warehouse across 3 stock entries</t>
  </si>
  <si>
    <t>Working of valuation of semi-finished inventory (WIP)</t>
  </si>
  <si>
    <t>No project-WIP accounting in ERPNext: choose (a) Work Order + WIP warehouse, or (b) Project WIP account + JV on sale</t>
  </si>
  <si>
    <t>Custom / design decision</t>
  </si>
  <si>
    <t>P3 (design) / P4</t>
  </si>
  <si>
    <t>'MSCAST Project WIP Valuation' report and ACC-JV-2026-00011 carrying Rs 26.71 L. Method: bought-out billed + material issued + engineering hours at Rs 450/hr + 12 percent works overhead, less the cost of the billed portion, with completion measured by billing against contract value. ASSUMPTION: method needs the auditor's blessing (decision D6)</t>
  </si>
  <si>
    <t>Current Tally method (Q11), D6</t>
  </si>
  <si>
    <t>GST on closing inventory</t>
  </si>
  <si>
    <t>Not a regular GST concept (ITC reversal only on cancellation); clarify</t>
  </si>
  <si>
    <t>'MSCAST GST on Closing Inventory (ITC and ITC-04)' - stock by warehouse with HSN, value, embedded ITC and the treatment note, separating stock lying at the job worker (ITC-04, one-year return rule) from stock on own premises</t>
  </si>
  <si>
    <t>Meaning? (Q9)</t>
  </si>
  <si>
    <t>AC-19</t>
  </si>
  <si>
    <t>Accounts POV (sales)</t>
  </si>
  <si>
    <t>Sales reconciliation incl. with GSTR-1; rate difference working; rejections</t>
  </si>
  <si>
    <t>p15</t>
  </si>
  <si>
    <t>India Compliance GSTR-1 (Books vs Filed, Reconcile tab); credit/debit notes; sales returns</t>
  </si>
  <si>
    <t>Yes (GST)</t>
  </si>
  <si>
    <t>2 GST sales invoices with correct CGST/SGST vs IGST; GSTR-1 and GST Sales Register available</t>
  </si>
  <si>
    <t>AC-20</t>
  </si>
  <si>
    <t>Accounts POV (purchase)</t>
  </si>
  <si>
    <t>Purchase reconciliation (RM, components, consumables, labour) with GSTR; rejections</t>
  </si>
  <si>
    <t>India Compliance Purchase Reconciliation Tool (GSTR-2A/2B — doc says GSTR-1, should be 2B); purchase returns</t>
  </si>
  <si>
    <t>PINV with input IGST; Purchase Reconciliation Tool (GSTR-2A/2B) available</t>
  </si>
  <si>
    <t>AC-21</t>
  </si>
  <si>
    <t>Accounts POV (expenses)</t>
  </si>
  <si>
    <t>Expenses: monthly volume, last-year comparison, ratio to sales</t>
  </si>
  <si>
    <t>P&amp;L Growth View (vs prior year) and Margin View (% of income)</t>
  </si>
  <si>
    <t>'MSCAST Expense Analysis (vs last year, % of sales)' report</t>
  </si>
  <si>
    <t>TDS deduction on expenses</t>
  </si>
  <si>
    <t>Tax Withholding Categories (194C/194J etc.)</t>
  </si>
  <si>
    <t>TDS 194C category (2%, 30k/1L thresholds) on the fabricator; PINV-26-00003 Rs 5,98,560 with Rs 10,320 TDS deducted</t>
  </si>
  <si>
    <t>AC-23</t>
  </si>
  <si>
    <t>Accounts POV (payroll)</t>
  </si>
  <si>
    <t>Monthly payroll matching all deductions: PF, ESI, PT, TDS</t>
  </si>
  <si>
    <t>Salary Register + PF/ESI/PT/TDS registers (HRMS + india-payroll). Fix: v16 Maharashtra PT women exemption bug (₹10k vs ₹25k) before go-live</t>
  </si>
  <si>
    <t>Standard (+ bug check)</t>
  </si>
  <si>
    <t>6 salary slips with PF 12%, ESIC, Professional Tax MH and TDS; india_payroll registers need statutory config</t>
  </si>
  <si>
    <t>AC-24</t>
  </si>
  <si>
    <t>Prior period expenses; fines &amp; penalties under any law</t>
  </si>
  <si>
    <t>Separate GL accounts + JV tagging</t>
  </si>
  <si>
    <t>Prior Period Expenses and Fines and Penalties under Law accounts created</t>
  </si>
  <si>
    <t>AC-25</t>
  </si>
  <si>
    <t>Warranty claims</t>
  </si>
  <si>
    <t>Warranty Claim + Maintenance Visit (Support); warranty provision account</t>
  </si>
  <si>
    <t>1 open warranty claim against a spare roll</t>
  </si>
  <si>
    <t>Built in the POC beyond the requirement list</t>
  </si>
  <si>
    <t>What was built</t>
  </si>
  <si>
    <t>Branding</t>
  </si>
  <si>
    <t>MSCAST logo, favicon, 'MSCAST ERP' app name, login page branding, dark desk theme by default</t>
  </si>
  <si>
    <t>Executive dashboard</t>
  </si>
  <si>
    <t>6 KPI number cards + 5 charts on the MSCAST workspace (order book, PO commitment, drawings, inspections, engineering hours)</t>
  </si>
  <si>
    <t>Letterhead</t>
  </si>
  <si>
    <t>MSCAST letterhead with address, CIN, GSTIN, IEC on all 15 custom print formats</t>
  </si>
  <si>
    <t>MSCAST forms</t>
  </si>
  <si>
    <t>15 MSCAST doctypes: PCC, MDF, MDM, Drawing (+revisions), Delivery Instruction, BRM, Inspection Plan, Project Certificate, Client Claim, Customer Asset, Transmittal, Commissioning Report, Spares Handover, Project Kickoff, Archival Log</t>
  </si>
  <si>
    <t>Print formats</t>
  </si>
  <si>
    <t>15 MSCAST print formats including the proforma invoice, client schedule, project status report, transmittal note, commissioning report and spares handover note</t>
  </si>
  <si>
    <t>Custom reports</t>
  </si>
  <si>
    <t>15 MSCAST query reports, including MSME 45-day dues, SO-PO-invoice tracker, project closure, Schedule III balance sheet and P&amp;L, daily management summary</t>
  </si>
  <si>
    <t>Controls</t>
  </si>
  <si>
    <t>Server script that blocks a supplier payment without a certified BRM (verified live), kick-off / customer-PO-check workflow, monthly archival job</t>
  </si>
  <si>
    <t>Roles</t>
  </si>
  <si>
    <t>MSCAST Statutory Auditor (read-only, incl. Version history) and MSCAST Director roles with demo users, so a client demo never runs as Administrator</t>
  </si>
  <si>
    <t>11 notifications, 1 email digest, 3 scheduled email reports (daily management summary, dispatch schedule, project MIS), 3 email templates</t>
  </si>
  <si>
    <t>GST masters</t>
  </si>
  <si>
    <t>18,687 HSN codes, GST accounts, item tax templates, tax categories, 16 addresses with GSTIN</t>
  </si>
  <si>
    <t>Demo dataset</t>
  </si>
  <si>
    <t>2 projects at different stages, 48 items, 15 parties, full order-to-dispatch-to-commissioning chain, 4 assets, 6 employees with payroll</t>
  </si>
  <si>
    <t>Public demo URL</t>
  </si>
  <si>
    <t>Cloudflare Tunnel on the company domain: https://mscast.carobar.net (password change required before sharing)</t>
  </si>
  <si>
    <t>Repeatable build</t>
  </si>
  <si>
    <t>50+ idempotent seed scripts + start/stop/status/backup/reset scripts; custom Docker image with 5 apps</t>
  </si>
  <si>
    <t>Statutory pack</t>
  </si>
  <si>
    <t>Schedule III balance sheet and P&amp;L that balance to the rupee, trade receivable and payable ageing, the eleven prescribed ratios, and 25 notes to accounts</t>
  </si>
  <si>
    <t>Approval workflows</t>
  </si>
  <si>
    <t>PCC approval, purchase order approval, BRM certification and project kick-off - four active workflows, with the BRM workflow driving the same status field the payment block reads</t>
  </si>
  <si>
    <t>Department users</t>
  </si>
  <si>
    <t>accounts / purchase / design / stores / HR demo users on the matching roles, all marked unsubscribed so the fictional domain never bounces</t>
  </si>
  <si>
    <t>Test harness</t>
  </si>
  <si>
    <t>23 automated checks covering SQL literals against real field options, report execution, Indian dates, print rendering, ledger integrity, the payment control, seeded-data validity, GST place of supply, mail and payroll - all passing</t>
  </si>
  <si>
    <t>Known gaps to close next</t>
  </si>
  <si>
    <t>gap</t>
  </si>
  <si>
    <t>Six items rest on stated assumptions that MSCAST or the CA should confirm: the Schedule III format, the SMC/AS basis, the WIP valuation method, the s.115BAA tax rate, the meaning of 'Finance Scaling Management', and the biometric device model</t>
  </si>
  <si>
    <t>Comparative (previous year) columns fill only when the Tally opening balances are migrated</t>
  </si>
  <si>
    <t>Google Chat webhooks are configured but disabled - they need the space URL</t>
  </si>
  <si>
    <t>Opening data migration from Tally, production VPS, HTTPS and daily India-hosted backups</t>
  </si>
  <si>
    <t>Gemini automation layer from the phased plan (needs a Google Cloud project, decision D5)</t>
  </si>
  <si>
    <t>Topic</t>
  </si>
  <si>
    <t>Question for MSCAST / CA</t>
  </si>
  <si>
    <t>Related IDs</t>
  </si>
  <si>
    <t>Needed by</t>
  </si>
  <si>
    <t>Answer</t>
  </si>
  <si>
    <t>Owner</t>
  </si>
  <si>
    <t>Q1</t>
  </si>
  <si>
    <t>What exactly is meant (budgets, cash-flow forecasting, multi-entity growth, credit limits)?</t>
  </si>
  <si>
    <t>Q2</t>
  </si>
  <si>
    <t>PCC</t>
  </si>
  <si>
    <t>Share the current PCC template, who prepares/approves it, how often it is revised, and whether it is at component or assembly level.</t>
  </si>
  <si>
    <t>S-02, PC-03, P-09</t>
  </si>
  <si>
    <t>Q3</t>
  </si>
  <si>
    <t>Project MIS</t>
  </si>
  <si>
    <t>Share the 'New Project MIS' template and the monthly project cost MIS format.</t>
  </si>
  <si>
    <t>PC-13, A-13</t>
  </si>
  <si>
    <t>Q4</t>
  </si>
  <si>
    <t>BRM</t>
  </si>
  <si>
    <t>Share the Billing Routing Memo format, approvers and payment release rules (advance/proforma/internal memo).</t>
  </si>
  <si>
    <t>P-08, A-05</t>
  </si>
  <si>
    <t>Q5</t>
  </si>
  <si>
    <t>MDM / DI / Annexure-I</t>
  </si>
  <si>
    <t>Share sample Material Dispatch Memo, Delivery Instruction and Annexure-I.</t>
  </si>
  <si>
    <t>P-11, PC-04, P-12</t>
  </si>
  <si>
    <t>Q6</t>
  </si>
  <si>
    <t>Biometric access control</t>
  </si>
  <si>
    <t>Device make/model and count; network (LAN/cloud); should ERP only read punches or also control door lock/unlock?</t>
  </si>
  <si>
    <t>Q7</t>
  </si>
  <si>
    <t>Daily SMS</t>
  </si>
  <si>
    <t>Recipients; is WhatsApp/Google Chat/email acceptable instead of SMS? Is DLT registration already done?</t>
  </si>
  <si>
    <t>Q8</t>
  </si>
  <si>
    <t>Tata Motors assets</t>
  </si>
  <si>
    <t>What are these assets (customer-owned tooling/equipment at MSCAST, leased items)? How are they recorded today?</t>
  </si>
  <si>
    <t>Q9</t>
  </si>
  <si>
    <t>What report/working is expected?</t>
  </si>
  <si>
    <t>Q10</t>
  </si>
  <si>
    <t>Accounting standards</t>
  </si>
  <si>
    <t>CA to confirm AS (Companies (AS) Rules 2021) vs Ind AS and SMC/small-company status; cash flow statement needed?</t>
  </si>
  <si>
    <t>AC-07, A-14</t>
  </si>
  <si>
    <t>Q11</t>
  </si>
  <si>
    <t>WIP valuation</t>
  </si>
  <si>
    <t>How is semi-finished/project WIP valued in Tally today (per project cost sheet, % completion)?</t>
  </si>
  <si>
    <t>Q12</t>
  </si>
  <si>
    <t>Payroll</t>
  </si>
  <si>
    <t>Headcount under PF/ESI; current payroll provider; gratuity valuation method.</t>
  </si>
  <si>
    <t>M-01, AC-23, AC-11</t>
  </si>
  <si>
    <t>Q13</t>
  </si>
  <si>
    <t>8-year undertaking</t>
  </si>
  <si>
    <t>Is an open-source + archival/backup policy acceptable in place of a vendor undertaking?</t>
  </si>
  <si>
    <t>Q14</t>
  </si>
  <si>
    <t>Additional claims</t>
  </si>
  <si>
    <t>How are claims agreed and billed (amendment to SO, separate invoice, credit note)?</t>
  </si>
  <si>
    <t>Q15</t>
  </si>
  <si>
    <t>Spares Dept</t>
  </si>
  <si>
    <t>Separate team? Spares from stock or order-based? Price lists?</t>
  </si>
  <si>
    <t>Q16</t>
  </si>
  <si>
    <t>Foreign travel / exports</t>
  </si>
  <si>
    <t>Frequency, currencies, export orders?</t>
  </si>
  <si>
    <t>Q17</t>
  </si>
  <si>
    <t>Equipment-wise man-hours</t>
  </si>
  <si>
    <t>Which list defines 'equipment' (CCM sub-assemblies such as ladle turret, tundish, mould, WSU)?</t>
  </si>
  <si>
    <t>Q18</t>
  </si>
  <si>
    <t>Flowchart order</t>
  </si>
  <si>
    <t>Flowchart shows 'Mscast PO Release' before 'Designing' — are long-lead bought-outs ordered before design is complete?</t>
  </si>
  <si>
    <t>E-04, P-04</t>
  </si>
  <si>
    <t>Q19</t>
  </si>
  <si>
    <t>Share register</t>
  </si>
  <si>
    <t>Keep shareholder/share transfer records in ERP, or with the company secretary?</t>
  </si>
  <si>
    <t>Change</t>
  </si>
  <si>
    <t>Reason (requirement IDs)</t>
  </si>
  <si>
    <t>Impact</t>
  </si>
  <si>
    <t>'MDF' resolved: Material Data File / material list prepared by Engineering after drawings are final. Modelled as Engineering BOM/MDF that generates Material Requests.</t>
  </si>
  <si>
    <t>Removes open question; no scope change</t>
  </si>
  <si>
    <t>New backbone object: PCC (Purchase Cost Calculation) sheet per Sales Order/Project, with revisions; POs checked against it; project MIS compares PCC vs actual.</t>
  </si>
  <si>
    <t>S-02, PC-03, P-09, PC-13, A-13</t>
  </si>
  <si>
    <t>+L custom item in P1; +M report in P2; drives MIS in P4</t>
  </si>
  <si>
    <t>New: Billing Routing Memo (BRM) — Procurement certifies supplier bills before Accounts pays. Register in P2 (Tally still books), gates Payment Entry from P4.</t>
  </si>
  <si>
    <t>P-08, PC-06, A-05</t>
  </si>
  <si>
    <t>+M custom in P2, +S validation in P4</t>
  </si>
  <si>
    <t>Delivery Instruction + Material Dispatch Memo + Annexure-I confirmed: suppliers ship direct to customer site on MSCAST instruction.</t>
  </si>
  <si>
    <t>PC-04, P-11, P-12</t>
  </si>
  <si>
    <t>Already in backlog; formats needed from MSCAST</t>
  </si>
  <si>
    <t>Added: additional client claims, Commissioning/Preliminary/Final certificates, Proforma invoice, retention supplementary invoice, SO↔PO↔invoice tracker.</t>
  </si>
  <si>
    <t>PR-07, PR-08, PC-17, PC-18, PC-19</t>
  </si>
  <si>
    <t>+S/M items in P3/P4</t>
  </si>
  <si>
    <t>Audit trail (India Compliance) switched on at site creation in P0, before any entry; custom Statutory Auditor role and read-only Director role.</t>
  </si>
  <si>
    <t>AC-01, AC-02, AC-06</t>
  </si>
  <si>
    <t>Config in P0; auditor role finalised in P4</t>
  </si>
  <si>
    <t>Data residency: Companies (Accounts) Rules require daily backups on servers in India — confirms Frappe Cloud Mumbai / India VPS; no foreign hosting. 8-year archival policy replaces 'vendor undertaking'.</t>
  </si>
  <si>
    <t>Strengthens decision D1; adds archival SOP</t>
  </si>
  <si>
    <t>Supplier MSME/Udyam fields captured from master-data load (P0/P2); 45-day MSME dues report (Form I, Schedule III, s.43B(h)) in P4.</t>
  </si>
  <si>
    <t>+M custom report</t>
  </si>
  <si>
    <t>Payroll with PF, ESI, PT and TDS is in scope (not optional). Decision D3 changed: india-payroll in P5 with two parallel payroll cycles; verify Maharashtra PT women-exemption fix is in v16 before go-live.</t>
  </si>
  <si>
    <t>M-01, AC-23</t>
  </si>
  <si>
    <t>P5 extended; bug check added to G5</t>
  </si>
  <si>
    <t>Biometric access-control integration added to P5 (ERP reads punches; door locking stays in the access system). Depends on device make/model.</t>
  </si>
  <si>
    <t>+M integration; may need small LAN sync agent</t>
  </si>
  <si>
    <t>Daily SMS to COO/CFO: recommend Email Digest + WhatsApp/Google Chat summary; SMS only as short DLT-template alert (new decision D7). Value alerts from P2, financial summary from P4.</t>
  </si>
  <si>
    <t>+M; channel decision needed</t>
  </si>
  <si>
    <t>New decision D6: project WIP valuation method (Work Order + WIP warehouse vs Project WIP account + JV), agreed with CA by gate G2 because it affects warehouse/account setup.</t>
  </si>
  <si>
    <t>Design task in P2/P3</t>
  </si>
  <si>
    <t>Fixed assets moved from P5 to P4 so the asset register (two finance books, CWIP, intangibles) is loaded with the 1 Apr 2027 opening balances.</t>
  </si>
  <si>
    <t>AC-12, AC-14, AC-15</t>
  </si>
  <si>
    <t>P4 heavier; P5 lighter</t>
  </si>
  <si>
    <t>Accounting standards: document lists Ind AS topics; MSCAST most likely reports under Companies (AS) Rules 2021 as an SMC. Notes to accounts stay with the CA. India Compliance Schedule III templates used for BS/P&amp;L.</t>
  </si>
  <si>
    <t>Clarify with CA in P0</t>
  </si>
  <si>
    <t>Engineering man-hours captured equipment-wise as well as project-wise (custom Equipment field on timesheets).</t>
  </si>
  <si>
    <t>+S in P1</t>
  </si>
  <si>
    <t>Timeline extended by ~5 weeks: P1 7 wks, P2 8 wks, P4 to end-May 2027, P5 Jun–Jul 2027 (payroll parallel runs). Custom/config build ≈28 person-weeks (Summary sheet) plus standard setup, migration, training and UAT: ≈35–45 person-weeks in total.</t>
  </si>
  <si>
    <t>See Summary sheet for effort by phase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</si>
</sst>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1"/>
      <name val="Arial"/>
    </font>
    <font>
      <b/>
      <sz val="10"/>
      <color rgb="FFFFFFFF"/>
      <name val="Arial"/>
    </font>
    <font>
      <i/>
      <sz val="9"/>
      <name val="Arial"/>
    </font>
    <font>
      <b/>
      <sz val="11"/>
      <name val="Arial"/>
    </font>
    <font>
      <sz val="11"/>
      <color rgb="FF0000FF"/>
      <name val="Arial"/>
    </font>
    <font>
      <b/>
      <sz val="12"/>
      <name val="Arial"/>
    </font>
    <font>
      <b/>
      <sz val="13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8CBAD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FFF00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7" fillId="10" borderId="0" xfId="0" applyFont="1" applyFill="1"/>
    <xf numFmtId="0" fontId="4" fillId="2" borderId="0" xfId="0" applyFont="1" applyFill="1"/>
    <xf numFmtId="0" fontId="2" fillId="4" borderId="0" xfId="0" applyFont="1" applyFill="1"/>
    <xf numFmtId="164" fontId="2" fillId="0" borderId="0" xfId="0" applyNumberFormat="1" applyFont="1"/>
    <xf numFmtId="0" fontId="2" fillId="11" borderId="0" xfId="0" applyFont="1" applyFill="1"/>
    <xf numFmtId="0" fontId="2" fillId="6" borderId="0" xfId="0" applyFont="1" applyFill="1"/>
    <xf numFmtId="0" fontId="2" fillId="12" borderId="0" xfId="0" applyFont="1" applyFill="1"/>
    <xf numFmtId="0" fontId="2" fillId="9" borderId="0" xfId="0" applyFont="1" applyFill="1"/>
    <xf numFmtId="165" fontId="2" fillId="0" borderId="0" xfId="0" applyNumberFormat="1" applyFont="1"/>
    <xf numFmtId="165" fontId="6" fillId="0" borderId="0" xfId="0" applyNumberFormat="1" applyFont="1"/>
    <xf numFmtId="0" fontId="9" fillId="0" borderId="0" xfId="0" applyFont="1"/>
    <xf numFmtId="0" fontId="4" fillId="2" borderId="1" xfId="0" applyFont="1" applyFill="1" applyBorder="1"/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12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2" fillId="3" borderId="0" xfId="0" applyFont="1" applyFill="1"/>
    <xf numFmtId="0" fontId="2" fillId="5" borderId="0" xfId="0" applyFont="1" applyFill="1"/>
    <xf numFmtId="0" fontId="4" fillId="2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8" fillId="0" borderId="0" xfId="0" applyFont="1"/>
    <xf numFmtId="0" fontId="2" fillId="10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1"/>
  <sheetViews>
    <sheetView workbookViewId="0">
      <selection activeCell="E22" sqref="E22"/>
    </sheetView>
  </sheetViews>
  <sheetFormatPr defaultRowHeight="15"/>
  <cols>
    <col min="1" max="1" width="140" customWidth="1"/>
  </cols>
  <sheetData>
    <row r="1" spans="1:1" ht="18">
      <c r="A1" s="1" t="s">
        <v>0</v>
      </c>
    </row>
    <row r="2" spans="1:1">
      <c r="A2" s="2" t="s">
        <v>1</v>
      </c>
    </row>
    <row r="3" spans="1:1">
      <c r="A3" s="2"/>
    </row>
    <row r="4" spans="1:1">
      <c r="A4" s="2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 t="s">
        <v>5</v>
      </c>
    </row>
    <row r="8" spans="1:1">
      <c r="A8" s="2" t="s">
        <v>6</v>
      </c>
    </row>
    <row r="9" spans="1:1">
      <c r="A9" s="2"/>
    </row>
    <row r="10" spans="1:1">
      <c r="A10" s="3" t="s">
        <v>7</v>
      </c>
    </row>
    <row r="11" spans="1:1">
      <c r="A11" s="2" t="s">
        <v>8</v>
      </c>
    </row>
    <row r="12" spans="1:1">
      <c r="A12" s="2" t="s">
        <v>9</v>
      </c>
    </row>
    <row r="13" spans="1:1">
      <c r="A13" s="2"/>
    </row>
    <row r="14" spans="1:1">
      <c r="A14" s="3" t="s">
        <v>10</v>
      </c>
    </row>
    <row r="15" spans="1:1">
      <c r="A15" s="2" t="s">
        <v>11</v>
      </c>
    </row>
    <row r="16" spans="1:1">
      <c r="A16" s="2" t="s">
        <v>12</v>
      </c>
    </row>
    <row r="17" spans="1:1">
      <c r="A17" s="2" t="s">
        <v>13</v>
      </c>
    </row>
    <row r="18" spans="1:1">
      <c r="A18" s="2"/>
    </row>
    <row r="19" spans="1:1">
      <c r="A19" s="2" t="s">
        <v>14</v>
      </c>
    </row>
    <row r="20" spans="1:1">
      <c r="A20" s="2" t="s">
        <v>15</v>
      </c>
    </row>
    <row r="21" spans="1:1">
      <c r="A21" s="2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"/>
  <sheetViews>
    <sheetView tabSelected="1" workbookViewId="0">
      <selection activeCell="I22" sqref="I22"/>
    </sheetView>
  </sheetViews>
  <sheetFormatPr defaultRowHeight="15"/>
  <cols>
    <col min="1" max="1" width="40" customWidth="1"/>
    <col min="2" max="2" width="12" customWidth="1"/>
    <col min="3" max="3" width="16" customWidth="1"/>
    <col min="4" max="5" width="12" customWidth="1"/>
  </cols>
  <sheetData>
    <row r="1" spans="1:3" ht="18">
      <c r="A1" s="1" t="s">
        <v>17</v>
      </c>
    </row>
    <row r="2" spans="1:3">
      <c r="A2" s="4" t="s">
        <v>18</v>
      </c>
    </row>
    <row r="4" spans="1:3">
      <c r="A4" s="5" t="s">
        <v>19</v>
      </c>
    </row>
    <row r="5" spans="1:3">
      <c r="A5" s="2" t="s">
        <v>20</v>
      </c>
      <c r="B5" s="6">
        <v>1.5</v>
      </c>
      <c r="C5" s="4" t="s">
        <v>21</v>
      </c>
    </row>
    <row r="6" spans="1:3">
      <c r="A6" s="2" t="s">
        <v>22</v>
      </c>
      <c r="B6" s="6">
        <v>4.5</v>
      </c>
    </row>
    <row r="7" spans="1:3">
      <c r="A7" s="2" t="s">
        <v>23</v>
      </c>
      <c r="B7" s="6">
        <v>9.5</v>
      </c>
    </row>
    <row r="9" spans="1:3">
      <c r="A9" s="5" t="s">
        <v>24</v>
      </c>
    </row>
    <row r="10" spans="1:3">
      <c r="A10" s="7" t="s">
        <v>25</v>
      </c>
      <c r="B10" s="7" t="s">
        <v>26</v>
      </c>
      <c r="C10" s="7" t="s">
        <v>27</v>
      </c>
    </row>
    <row r="11" spans="1:3">
      <c r="A11" s="8" t="s">
        <v>28</v>
      </c>
      <c r="B11" s="2">
        <f>COUNTIF(Matrix!$L$2:$L$98,A11)</f>
        <v>97</v>
      </c>
      <c r="C11" s="9">
        <f>IF($B$16=0,0,B11/$B$16)</f>
        <v>1</v>
      </c>
    </row>
    <row r="12" spans="1:3">
      <c r="A12" s="10" t="s">
        <v>29</v>
      </c>
      <c r="B12" s="2">
        <f>COUNTIF(Matrix!$L$2:$L$98,A12)</f>
        <v>0</v>
      </c>
      <c r="C12" s="9">
        <f>IF($B$16=0,0,B12/$B$16)</f>
        <v>0</v>
      </c>
    </row>
    <row r="13" spans="1:3">
      <c r="A13" s="11" t="s">
        <v>30</v>
      </c>
      <c r="B13" s="2">
        <f>COUNTIF(Matrix!$L$2:$L$98,A13)</f>
        <v>0</v>
      </c>
      <c r="C13" s="9">
        <f>IF($B$16=0,0,B13/$B$16)</f>
        <v>0</v>
      </c>
    </row>
    <row r="14" spans="1:3">
      <c r="A14" s="12" t="s">
        <v>31</v>
      </c>
      <c r="B14" s="2">
        <f>COUNTIF(Matrix!$L$2:$L$98,A14)</f>
        <v>0</v>
      </c>
      <c r="C14" s="9">
        <f>IF($B$16=0,0,B14/$B$16)</f>
        <v>0</v>
      </c>
    </row>
    <row r="15" spans="1:3">
      <c r="A15" s="13" t="s">
        <v>32</v>
      </c>
      <c r="B15" s="2">
        <f>COUNTIF(Matrix!$L$2:$L$98,A15)</f>
        <v>0</v>
      </c>
      <c r="C15" s="9">
        <f>IF($B$16=0,0,B15/$B$16)</f>
        <v>0</v>
      </c>
    </row>
    <row r="16" spans="1:3">
      <c r="A16" s="5" t="s">
        <v>33</v>
      </c>
      <c r="B16" s="5">
        <f>SUM(B11:B15)</f>
        <v>97</v>
      </c>
    </row>
    <row r="17" spans="1:5">
      <c r="A17" s="4" t="str">
        <f>"All 97 requirements live · "&amp;TEXT(B11/B16,"0.0%")&amp;" of the matrix"</f>
        <v>All 97 requirements live · 100.0% of the matrix</v>
      </c>
    </row>
    <row r="19" spans="1:5">
      <c r="A19" s="5" t="s">
        <v>34</v>
      </c>
    </row>
    <row r="20" spans="1:5">
      <c r="A20" s="7" t="s">
        <v>35</v>
      </c>
      <c r="B20" s="7" t="s">
        <v>26</v>
      </c>
      <c r="C20" s="7" t="s">
        <v>28</v>
      </c>
      <c r="D20" s="7" t="s">
        <v>36</v>
      </c>
      <c r="E20" s="7" t="s">
        <v>37</v>
      </c>
    </row>
    <row r="21" spans="1:5">
      <c r="A21" s="2" t="s">
        <v>38</v>
      </c>
      <c r="B21" s="2">
        <f>COUNTIF(Matrix!$G$2:$G$98,A21)</f>
        <v>48</v>
      </c>
      <c r="C21" s="2">
        <f>COUNTIFS(Matrix!$G$2:$G$98,A21,Matrix!$L$2:$L$98,"Live in POC")</f>
        <v>48</v>
      </c>
      <c r="D21" s="2">
        <f>COUNTIFS(Matrix!$G$2:$G$98,A21,Matrix!$L$2:$L$98,"Partly in POC")</f>
        <v>0</v>
      </c>
      <c r="E21" s="2">
        <f t="shared" ref="E21:E26" si="0">B21-C21-D21</f>
        <v>0</v>
      </c>
    </row>
    <row r="22" spans="1:5">
      <c r="A22" s="2" t="s">
        <v>39</v>
      </c>
      <c r="B22" s="2">
        <f>COUNTIF(Matrix!$G$2:$G$98,A22)</f>
        <v>23</v>
      </c>
      <c r="C22" s="2">
        <f>COUNTIFS(Matrix!$G$2:$G$98,A22,Matrix!$L$2:$L$98,"Live in POC")</f>
        <v>23</v>
      </c>
      <c r="D22" s="2">
        <f>COUNTIFS(Matrix!$G$2:$G$98,A22,Matrix!$L$2:$L$98,"Partly in POC")</f>
        <v>0</v>
      </c>
      <c r="E22" s="2">
        <f t="shared" si="0"/>
        <v>0</v>
      </c>
    </row>
    <row r="23" spans="1:5">
      <c r="A23" s="2" t="s">
        <v>40</v>
      </c>
      <c r="B23" s="2">
        <f>COUNTIF(Matrix!$G$2:$G$98,A23)</f>
        <v>22</v>
      </c>
      <c r="C23" s="2">
        <f>COUNTIFS(Matrix!$G$2:$G$98,A23,Matrix!$L$2:$L$98,"Live in POC")</f>
        <v>22</v>
      </c>
      <c r="D23" s="2">
        <f>COUNTIFS(Matrix!$G$2:$G$98,A23,Matrix!$L$2:$L$98,"Partly in POC")</f>
        <v>0</v>
      </c>
      <c r="E23" s="2">
        <f t="shared" si="0"/>
        <v>0</v>
      </c>
    </row>
    <row r="24" spans="1:5">
      <c r="A24" s="2" t="s">
        <v>41</v>
      </c>
      <c r="B24" s="2">
        <f>COUNTIF(Matrix!$G$2:$G$98,A24)</f>
        <v>1</v>
      </c>
      <c r="C24" s="2">
        <f>COUNTIFS(Matrix!$G$2:$G$98,A24,Matrix!$L$2:$L$98,"Live in POC")</f>
        <v>1</v>
      </c>
      <c r="D24" s="2">
        <f>COUNTIFS(Matrix!$G$2:$G$98,A24,Matrix!$L$2:$L$98,"Partly in POC")</f>
        <v>0</v>
      </c>
      <c r="E24" s="2">
        <f t="shared" si="0"/>
        <v>0</v>
      </c>
    </row>
    <row r="25" spans="1:5">
      <c r="A25" s="2" t="s">
        <v>42</v>
      </c>
      <c r="B25" s="2">
        <f>COUNTIF(Matrix!$G$2:$G$98,A25)</f>
        <v>1</v>
      </c>
      <c r="C25" s="2">
        <f>COUNTIFS(Matrix!$G$2:$G$98,A25,Matrix!$L$2:$L$98,"Live in POC")</f>
        <v>1</v>
      </c>
      <c r="D25" s="2">
        <f>COUNTIFS(Matrix!$G$2:$G$98,A25,Matrix!$L$2:$L$98,"Partly in POC")</f>
        <v>0</v>
      </c>
      <c r="E25" s="2">
        <f t="shared" si="0"/>
        <v>0</v>
      </c>
    </row>
    <row r="26" spans="1:5">
      <c r="A26" s="2" t="s">
        <v>43</v>
      </c>
      <c r="B26" s="2">
        <f>COUNTIF(Matrix!$G$2:$G$98,A26)</f>
        <v>2</v>
      </c>
      <c r="C26" s="2">
        <f>COUNTIFS(Matrix!$G$2:$G$98,A26,Matrix!$L$2:$L$98,"Live in POC")</f>
        <v>2</v>
      </c>
      <c r="D26" s="2">
        <f>COUNTIFS(Matrix!$G$2:$G$98,A26,Matrix!$L$2:$L$98,"Partly in POC")</f>
        <v>0</v>
      </c>
      <c r="E26" s="2">
        <f t="shared" si="0"/>
        <v>0</v>
      </c>
    </row>
    <row r="27" spans="1:5">
      <c r="A27" s="5" t="s">
        <v>33</v>
      </c>
      <c r="B27" s="5">
        <f>B21+B22+B23+B24+B25+B26</f>
        <v>97</v>
      </c>
      <c r="C27" s="5">
        <f>C21+C22+C23+C24+C25+C26</f>
        <v>97</v>
      </c>
      <c r="D27" s="5">
        <f>D21+D22+D23+D24+D25+D26</f>
        <v>0</v>
      </c>
      <c r="E27" s="5">
        <f>E21+E22+E23+E24+E25+E26</f>
        <v>0</v>
      </c>
    </row>
    <row r="30" spans="1:5">
      <c r="A30" s="5" t="s">
        <v>44</v>
      </c>
    </row>
    <row r="31" spans="1:5">
      <c r="A31" s="7" t="s">
        <v>45</v>
      </c>
      <c r="B31" s="7" t="s">
        <v>26</v>
      </c>
      <c r="C31" s="7" t="s">
        <v>46</v>
      </c>
    </row>
    <row r="32" spans="1:5">
      <c r="A32" s="2" t="s">
        <v>47</v>
      </c>
      <c r="B32" s="2">
        <f>COUNTIF(Matrix!$K$2:$K$98,"Yes*")</f>
        <v>48</v>
      </c>
      <c r="C32" s="2">
        <f>COUNTIFS(Matrix!$K$2:$K$98,"Yes*",Matrix!$L$2:$L$98,"Live in POC")</f>
        <v>48</v>
      </c>
    </row>
    <row r="33" spans="1:3">
      <c r="A33" s="2" t="s">
        <v>36</v>
      </c>
      <c r="B33" s="2">
        <f>COUNTIF(Matrix!$K$2:$K$98,"Partly*")</f>
        <v>18</v>
      </c>
      <c r="C33" s="2">
        <f>COUNTIFS(Matrix!$K$2:$K$98,"Partly*",Matrix!$L$2:$L$98,"Live in POC")</f>
        <v>18</v>
      </c>
    </row>
    <row r="34" spans="1:3">
      <c r="A34" s="2" t="s">
        <v>48</v>
      </c>
      <c r="B34" s="2">
        <f>COUNTIF(Matrix!$K$2:$K$98,"No*")</f>
        <v>31</v>
      </c>
      <c r="C34" s="2">
        <f>COUNTIFS(Matrix!$K$2:$K$98,"No*",Matrix!$L$2:$L$98,"Live in POC")</f>
        <v>31</v>
      </c>
    </row>
    <row r="36" spans="1:3">
      <c r="A36" s="5" t="s">
        <v>49</v>
      </c>
    </row>
    <row r="37" spans="1:3">
      <c r="A37" s="7" t="s">
        <v>50</v>
      </c>
      <c r="B37" s="7" t="s">
        <v>51</v>
      </c>
      <c r="C37" s="7" t="s">
        <v>52</v>
      </c>
    </row>
    <row r="38" spans="1:3">
      <c r="A38" s="2" t="s">
        <v>53</v>
      </c>
      <c r="B38" s="2">
        <f>COUNTIFS(Matrix!$I$2:$I$98,A38,Matrix!$L$2:$L$98,"&lt;&gt;Live in POC",Matrix!$G$2:$G$98,"&lt;&gt;Standard")</f>
        <v>0</v>
      </c>
      <c r="C38" s="14">
        <f>COUNTIFS(Matrix!$I$2:$I$98,A38,Matrix!$J$2:$J$98,"S",Matrix!$L$2:$L$98,"&lt;&gt;Live in POC",Matrix!$G$2:$G$98,"Custom")*$B$5+COUNTIFS(Matrix!$I$2:$I$98,A38,Matrix!$J$2:$J$98,"S",Matrix!$L$2:$L$98,"&lt;&gt;Live in POC",Matrix!$G$2:$G$98,"Config")*$B$5+COUNTIFS(Matrix!$I$2:$I$98,A38,Matrix!$J$2:$J$98,"S",Matrix!$L$2:$L$98,"&lt;&gt;Live in POC",Matrix!$G$2:$G$98,"Integration")*$B$5+COUNTIFS(Matrix!$I$2:$I$98,A38,Matrix!$J$2:$J$98,"M",Matrix!$L$2:$L$98,"&lt;&gt;Live in POC",Matrix!$G$2:$G$98,"Custom")*$B$6+COUNTIFS(Matrix!$I$2:$I$98,A38,Matrix!$J$2:$J$98,"M",Matrix!$L$2:$L$98,"&lt;&gt;Live in POC",Matrix!$G$2:$G$98,"Config")*$B$6+COUNTIFS(Matrix!$I$2:$I$98,A38,Matrix!$J$2:$J$98,"M",Matrix!$L$2:$L$98,"&lt;&gt;Live in POC",Matrix!$G$2:$G$98,"Integration")*$B$6+COUNTIFS(Matrix!$I$2:$I$98,A38,Matrix!$J$2:$J$98,"L",Matrix!$L$2:$L$98,"&lt;&gt;Live in POC",Matrix!$G$2:$G$98,"Custom")*$B$7+COUNTIFS(Matrix!$I$2:$I$98,A38,Matrix!$J$2:$J$98,"L",Matrix!$L$2:$L$98,"&lt;&gt;Live in POC",Matrix!$G$2:$G$98,"Config")*$B$7+COUNTIFS(Matrix!$I$2:$I$98,A38,Matrix!$J$2:$J$98,"L",Matrix!$L$2:$L$98,"&lt;&gt;Live in POC",Matrix!$G$2:$G$98,"Integration")*$B$7</f>
        <v>0</v>
      </c>
    </row>
    <row r="39" spans="1:3">
      <c r="A39" s="2" t="s">
        <v>54</v>
      </c>
      <c r="B39" s="2">
        <f>COUNTIFS(Matrix!$I$2:$I$98,A39,Matrix!$L$2:$L$98,"&lt;&gt;Live in POC",Matrix!$G$2:$G$98,"&lt;&gt;Standard")</f>
        <v>0</v>
      </c>
      <c r="C39" s="14">
        <f>COUNTIFS(Matrix!$I$2:$I$98,A39,Matrix!$J$2:$J$98,"S",Matrix!$L$2:$L$98,"&lt;&gt;Live in POC",Matrix!$G$2:$G$98,"Custom")*$B$5+COUNTIFS(Matrix!$I$2:$I$98,A39,Matrix!$J$2:$J$98,"S",Matrix!$L$2:$L$98,"&lt;&gt;Live in POC",Matrix!$G$2:$G$98,"Config")*$B$5+COUNTIFS(Matrix!$I$2:$I$98,A39,Matrix!$J$2:$J$98,"S",Matrix!$L$2:$L$98,"&lt;&gt;Live in POC",Matrix!$G$2:$G$98,"Integration")*$B$5+COUNTIFS(Matrix!$I$2:$I$98,A39,Matrix!$J$2:$J$98,"M",Matrix!$L$2:$L$98,"&lt;&gt;Live in POC",Matrix!$G$2:$G$98,"Custom")*$B$6+COUNTIFS(Matrix!$I$2:$I$98,A39,Matrix!$J$2:$J$98,"M",Matrix!$L$2:$L$98,"&lt;&gt;Live in POC",Matrix!$G$2:$G$98,"Config")*$B$6+COUNTIFS(Matrix!$I$2:$I$98,A39,Matrix!$J$2:$J$98,"M",Matrix!$L$2:$L$98,"&lt;&gt;Live in POC",Matrix!$G$2:$G$98,"Integration")*$B$6+COUNTIFS(Matrix!$I$2:$I$98,A39,Matrix!$J$2:$J$98,"L",Matrix!$L$2:$L$98,"&lt;&gt;Live in POC",Matrix!$G$2:$G$98,"Custom")*$B$7+COUNTIFS(Matrix!$I$2:$I$98,A39,Matrix!$J$2:$J$98,"L",Matrix!$L$2:$L$98,"&lt;&gt;Live in POC",Matrix!$G$2:$G$98,"Config")*$B$7+COUNTIFS(Matrix!$I$2:$I$98,A39,Matrix!$J$2:$J$98,"L",Matrix!$L$2:$L$98,"&lt;&gt;Live in POC",Matrix!$G$2:$G$98,"Integration")*$B$7</f>
        <v>0</v>
      </c>
    </row>
    <row r="40" spans="1:3">
      <c r="A40" s="2" t="s">
        <v>55</v>
      </c>
      <c r="B40" s="2">
        <f>COUNTIFS(Matrix!$I$2:$I$98,A40,Matrix!$L$2:$L$98,"&lt;&gt;Live in POC",Matrix!$G$2:$G$98,"&lt;&gt;Standard")</f>
        <v>0</v>
      </c>
      <c r="C40" s="14">
        <f>COUNTIFS(Matrix!$I$2:$I$98,A40,Matrix!$J$2:$J$98,"S",Matrix!$L$2:$L$98,"&lt;&gt;Live in POC",Matrix!$G$2:$G$98,"Custom")*$B$5+COUNTIFS(Matrix!$I$2:$I$98,A40,Matrix!$J$2:$J$98,"S",Matrix!$L$2:$L$98,"&lt;&gt;Live in POC",Matrix!$G$2:$G$98,"Config")*$B$5+COUNTIFS(Matrix!$I$2:$I$98,A40,Matrix!$J$2:$J$98,"S",Matrix!$L$2:$L$98,"&lt;&gt;Live in POC",Matrix!$G$2:$G$98,"Integration")*$B$5+COUNTIFS(Matrix!$I$2:$I$98,A40,Matrix!$J$2:$J$98,"M",Matrix!$L$2:$L$98,"&lt;&gt;Live in POC",Matrix!$G$2:$G$98,"Custom")*$B$6+COUNTIFS(Matrix!$I$2:$I$98,A40,Matrix!$J$2:$J$98,"M",Matrix!$L$2:$L$98,"&lt;&gt;Live in POC",Matrix!$G$2:$G$98,"Config")*$B$6+COUNTIFS(Matrix!$I$2:$I$98,A40,Matrix!$J$2:$J$98,"M",Matrix!$L$2:$L$98,"&lt;&gt;Live in POC",Matrix!$G$2:$G$98,"Integration")*$B$6+COUNTIFS(Matrix!$I$2:$I$98,A40,Matrix!$J$2:$J$98,"L",Matrix!$L$2:$L$98,"&lt;&gt;Live in POC",Matrix!$G$2:$G$98,"Custom")*$B$7+COUNTIFS(Matrix!$I$2:$I$98,A40,Matrix!$J$2:$J$98,"L",Matrix!$L$2:$L$98,"&lt;&gt;Live in POC",Matrix!$G$2:$G$98,"Config")*$B$7+COUNTIFS(Matrix!$I$2:$I$98,A40,Matrix!$J$2:$J$98,"L",Matrix!$L$2:$L$98,"&lt;&gt;Live in POC",Matrix!$G$2:$G$98,"Integration")*$B$7</f>
        <v>0</v>
      </c>
    </row>
    <row r="41" spans="1:3">
      <c r="A41" s="2" t="s">
        <v>56</v>
      </c>
      <c r="B41" s="2">
        <f>COUNTIFS(Matrix!$I$2:$I$98,A41,Matrix!$L$2:$L$98,"&lt;&gt;Live in POC",Matrix!$G$2:$G$98,"&lt;&gt;Standard")</f>
        <v>0</v>
      </c>
      <c r="C41" s="14">
        <f>COUNTIFS(Matrix!$I$2:$I$98,A41,Matrix!$J$2:$J$98,"S",Matrix!$L$2:$L$98,"&lt;&gt;Live in POC",Matrix!$G$2:$G$98,"Custom")*$B$5+COUNTIFS(Matrix!$I$2:$I$98,A41,Matrix!$J$2:$J$98,"S",Matrix!$L$2:$L$98,"&lt;&gt;Live in POC",Matrix!$G$2:$G$98,"Config")*$B$5+COUNTIFS(Matrix!$I$2:$I$98,A41,Matrix!$J$2:$J$98,"S",Matrix!$L$2:$L$98,"&lt;&gt;Live in POC",Matrix!$G$2:$G$98,"Integration")*$B$5+COUNTIFS(Matrix!$I$2:$I$98,A41,Matrix!$J$2:$J$98,"M",Matrix!$L$2:$L$98,"&lt;&gt;Live in POC",Matrix!$G$2:$G$98,"Custom")*$B$6+COUNTIFS(Matrix!$I$2:$I$98,A41,Matrix!$J$2:$J$98,"M",Matrix!$L$2:$L$98,"&lt;&gt;Live in POC",Matrix!$G$2:$G$98,"Config")*$B$6+COUNTIFS(Matrix!$I$2:$I$98,A41,Matrix!$J$2:$J$98,"M",Matrix!$L$2:$L$98,"&lt;&gt;Live in POC",Matrix!$G$2:$G$98,"Integration")*$B$6+COUNTIFS(Matrix!$I$2:$I$98,A41,Matrix!$J$2:$J$98,"L",Matrix!$L$2:$L$98,"&lt;&gt;Live in POC",Matrix!$G$2:$G$98,"Custom")*$B$7+COUNTIFS(Matrix!$I$2:$I$98,A41,Matrix!$J$2:$J$98,"L",Matrix!$L$2:$L$98,"&lt;&gt;Live in POC",Matrix!$G$2:$G$98,"Config")*$B$7+COUNTIFS(Matrix!$I$2:$I$98,A41,Matrix!$J$2:$J$98,"L",Matrix!$L$2:$L$98,"&lt;&gt;Live in POC",Matrix!$G$2:$G$98,"Integration")*$B$7</f>
        <v>0</v>
      </c>
    </row>
    <row r="42" spans="1:3">
      <c r="A42" s="2" t="s">
        <v>57</v>
      </c>
      <c r="B42" s="2">
        <f>COUNTIFS(Matrix!$I$2:$I$98,A42,Matrix!$L$2:$L$98,"&lt;&gt;Live in POC",Matrix!$G$2:$G$98,"&lt;&gt;Standard")</f>
        <v>0</v>
      </c>
      <c r="C42" s="14">
        <f>COUNTIFS(Matrix!$I$2:$I$98,A42,Matrix!$J$2:$J$98,"S",Matrix!$L$2:$L$98,"&lt;&gt;Live in POC",Matrix!$G$2:$G$98,"Custom")*$B$5+COUNTIFS(Matrix!$I$2:$I$98,A42,Matrix!$J$2:$J$98,"S",Matrix!$L$2:$L$98,"&lt;&gt;Live in POC",Matrix!$G$2:$G$98,"Config")*$B$5+COUNTIFS(Matrix!$I$2:$I$98,A42,Matrix!$J$2:$J$98,"S",Matrix!$L$2:$L$98,"&lt;&gt;Live in POC",Matrix!$G$2:$G$98,"Integration")*$B$5+COUNTIFS(Matrix!$I$2:$I$98,A42,Matrix!$J$2:$J$98,"M",Matrix!$L$2:$L$98,"&lt;&gt;Live in POC",Matrix!$G$2:$G$98,"Custom")*$B$6+COUNTIFS(Matrix!$I$2:$I$98,A42,Matrix!$J$2:$J$98,"M",Matrix!$L$2:$L$98,"&lt;&gt;Live in POC",Matrix!$G$2:$G$98,"Config")*$B$6+COUNTIFS(Matrix!$I$2:$I$98,A42,Matrix!$J$2:$J$98,"M",Matrix!$L$2:$L$98,"&lt;&gt;Live in POC",Matrix!$G$2:$G$98,"Integration")*$B$6+COUNTIFS(Matrix!$I$2:$I$98,A42,Matrix!$J$2:$J$98,"L",Matrix!$L$2:$L$98,"&lt;&gt;Live in POC",Matrix!$G$2:$G$98,"Custom")*$B$7+COUNTIFS(Matrix!$I$2:$I$98,A42,Matrix!$J$2:$J$98,"L",Matrix!$L$2:$L$98,"&lt;&gt;Live in POC",Matrix!$G$2:$G$98,"Config")*$B$7+COUNTIFS(Matrix!$I$2:$I$98,A42,Matrix!$J$2:$J$98,"L",Matrix!$L$2:$L$98,"&lt;&gt;Live in POC",Matrix!$G$2:$G$98,"Integration")*$B$7</f>
        <v>0</v>
      </c>
    </row>
    <row r="43" spans="1:3">
      <c r="A43" s="2" t="s">
        <v>58</v>
      </c>
      <c r="B43" s="2">
        <f>COUNTIFS(Matrix!$I$2:$I$98,A43,Matrix!$L$2:$L$98,"&lt;&gt;Live in POC",Matrix!$G$2:$G$98,"&lt;&gt;Standard")</f>
        <v>0</v>
      </c>
      <c r="C43" s="14">
        <f>COUNTIFS(Matrix!$I$2:$I$98,A43,Matrix!$J$2:$J$98,"S",Matrix!$L$2:$L$98,"&lt;&gt;Live in POC",Matrix!$G$2:$G$98,"Custom")*$B$5+COUNTIFS(Matrix!$I$2:$I$98,A43,Matrix!$J$2:$J$98,"S",Matrix!$L$2:$L$98,"&lt;&gt;Live in POC",Matrix!$G$2:$G$98,"Config")*$B$5+COUNTIFS(Matrix!$I$2:$I$98,A43,Matrix!$J$2:$J$98,"S",Matrix!$L$2:$L$98,"&lt;&gt;Live in POC",Matrix!$G$2:$G$98,"Integration")*$B$5+COUNTIFS(Matrix!$I$2:$I$98,A43,Matrix!$J$2:$J$98,"M",Matrix!$L$2:$L$98,"&lt;&gt;Live in POC",Matrix!$G$2:$G$98,"Custom")*$B$6+COUNTIFS(Matrix!$I$2:$I$98,A43,Matrix!$J$2:$J$98,"M",Matrix!$L$2:$L$98,"&lt;&gt;Live in POC",Matrix!$G$2:$G$98,"Config")*$B$6+COUNTIFS(Matrix!$I$2:$I$98,A43,Matrix!$J$2:$J$98,"M",Matrix!$L$2:$L$98,"&lt;&gt;Live in POC",Matrix!$G$2:$G$98,"Integration")*$B$6+COUNTIFS(Matrix!$I$2:$I$98,A43,Matrix!$J$2:$J$98,"L",Matrix!$L$2:$L$98,"&lt;&gt;Live in POC",Matrix!$G$2:$G$98,"Custom")*$B$7+COUNTIFS(Matrix!$I$2:$I$98,A43,Matrix!$J$2:$J$98,"L",Matrix!$L$2:$L$98,"&lt;&gt;Live in POC",Matrix!$G$2:$G$98,"Config")*$B$7+COUNTIFS(Matrix!$I$2:$I$98,A43,Matrix!$J$2:$J$98,"L",Matrix!$L$2:$L$98,"&lt;&gt;Live in POC",Matrix!$G$2:$G$98,"Integration")*$B$7</f>
        <v>0</v>
      </c>
    </row>
    <row r="44" spans="1:3">
      <c r="A44" s="5" t="s">
        <v>33</v>
      </c>
      <c r="B44" s="5">
        <f>SUM(B38:B43)</f>
        <v>0</v>
      </c>
      <c r="C44" s="15">
        <f>SUM(C38:C43)</f>
        <v>0</v>
      </c>
    </row>
    <row r="45" spans="1:3">
      <c r="A45" s="4" t="str">
        <f>"≈ "&amp;TEXT(C44/5,"0.0")&amp;" person-weeks of build/config still open after the POC"</f>
        <v>≈ 0.0 person-weeks of build/config still open after the POC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5" customWidth="1"/>
    <col min="2" max="2" width="30" customWidth="1"/>
    <col min="3" max="3" width="62" customWidth="1"/>
    <col min="4" max="4" width="20" customWidth="1"/>
    <col min="5" max="5" width="22" customWidth="1"/>
    <col min="6" max="6" width="10" customWidth="1"/>
    <col min="7" max="7" width="40" customWidth="1"/>
    <col min="8" max="8" width="14" customWidth="1"/>
  </cols>
  <sheetData>
    <row r="1" spans="1:8" ht="16.5">
      <c r="A1" s="16" t="s">
        <v>59</v>
      </c>
    </row>
    <row r="2" spans="1:8">
      <c r="A2" s="4" t="s">
        <v>60</v>
      </c>
    </row>
    <row r="4" spans="1:8">
      <c r="A4" s="17" t="s">
        <v>61</v>
      </c>
      <c r="B4" s="17" t="s">
        <v>62</v>
      </c>
      <c r="C4" s="17" t="s">
        <v>63</v>
      </c>
      <c r="D4" s="17" t="s">
        <v>64</v>
      </c>
      <c r="E4" s="17" t="s">
        <v>65</v>
      </c>
      <c r="F4" s="17" t="s">
        <v>66</v>
      </c>
      <c r="G4" s="17" t="s">
        <v>67</v>
      </c>
      <c r="H4" s="17" t="s">
        <v>68</v>
      </c>
    </row>
    <row r="5" spans="1:8" ht="25.5">
      <c r="A5" s="18">
        <v>1</v>
      </c>
      <c r="B5" s="19" t="s">
        <v>69</v>
      </c>
      <c r="C5" s="18" t="s">
        <v>70</v>
      </c>
      <c r="D5" s="18" t="s">
        <v>71</v>
      </c>
      <c r="E5" s="18" t="s">
        <v>72</v>
      </c>
      <c r="F5" s="20">
        <v>3</v>
      </c>
      <c r="G5" s="18" t="s">
        <v>73</v>
      </c>
      <c r="H5" s="21" t="s">
        <v>74</v>
      </c>
    </row>
    <row r="6" spans="1:8">
      <c r="A6" s="18">
        <v>2</v>
      </c>
      <c r="B6" s="19" t="s">
        <v>69</v>
      </c>
      <c r="C6" s="18" t="s">
        <v>75</v>
      </c>
      <c r="D6" s="18" t="s">
        <v>76</v>
      </c>
      <c r="E6" s="18" t="s">
        <v>77</v>
      </c>
      <c r="F6" s="20">
        <v>2</v>
      </c>
      <c r="G6" s="18" t="s">
        <v>78</v>
      </c>
      <c r="H6" s="21" t="s">
        <v>74</v>
      </c>
    </row>
    <row r="7" spans="1:8" ht="25.5">
      <c r="A7" s="18">
        <v>3</v>
      </c>
      <c r="B7" s="19" t="s">
        <v>69</v>
      </c>
      <c r="C7" s="18" t="s">
        <v>79</v>
      </c>
      <c r="D7" s="18" t="s">
        <v>80</v>
      </c>
      <c r="E7" s="18" t="s">
        <v>77</v>
      </c>
      <c r="F7" s="20">
        <v>2</v>
      </c>
      <c r="G7" s="18" t="s">
        <v>78</v>
      </c>
      <c r="H7" s="21" t="s">
        <v>74</v>
      </c>
    </row>
    <row r="8" spans="1:8" ht="25.5">
      <c r="A8" s="18">
        <v>4</v>
      </c>
      <c r="B8" s="19" t="s">
        <v>69</v>
      </c>
      <c r="C8" s="18" t="s">
        <v>81</v>
      </c>
      <c r="D8" s="18" t="s">
        <v>82</v>
      </c>
      <c r="E8" s="18" t="s">
        <v>77</v>
      </c>
      <c r="F8" s="20">
        <v>3</v>
      </c>
      <c r="G8" s="18" t="s">
        <v>78</v>
      </c>
      <c r="H8" s="21" t="s">
        <v>74</v>
      </c>
    </row>
    <row r="9" spans="1:8">
      <c r="A9" s="18">
        <v>5</v>
      </c>
      <c r="B9" s="19" t="s">
        <v>69</v>
      </c>
      <c r="C9" s="18" t="s">
        <v>83</v>
      </c>
      <c r="D9" s="18" t="s">
        <v>84</v>
      </c>
      <c r="E9" s="18" t="s">
        <v>39</v>
      </c>
      <c r="F9" s="20">
        <v>1</v>
      </c>
      <c r="G9" s="18" t="s">
        <v>78</v>
      </c>
      <c r="H9" s="21" t="s">
        <v>74</v>
      </c>
    </row>
    <row r="10" spans="1:8">
      <c r="A10" s="18">
        <v>6</v>
      </c>
      <c r="B10" s="19" t="s">
        <v>69</v>
      </c>
      <c r="C10" s="18" t="s">
        <v>85</v>
      </c>
      <c r="D10" s="18" t="s">
        <v>86</v>
      </c>
      <c r="E10" s="18" t="s">
        <v>72</v>
      </c>
      <c r="F10" s="20">
        <v>2</v>
      </c>
      <c r="G10" s="18" t="s">
        <v>78</v>
      </c>
      <c r="H10" s="21" t="s">
        <v>74</v>
      </c>
    </row>
    <row r="11" spans="1:8" ht="25.5">
      <c r="A11" s="18">
        <v>7</v>
      </c>
      <c r="B11" s="19" t="s">
        <v>69</v>
      </c>
      <c r="C11" s="18" t="s">
        <v>87</v>
      </c>
      <c r="D11" s="18" t="s">
        <v>88</v>
      </c>
      <c r="E11" s="18" t="s">
        <v>39</v>
      </c>
      <c r="F11" s="20">
        <v>2</v>
      </c>
      <c r="G11" s="18" t="s">
        <v>78</v>
      </c>
      <c r="H11" s="21" t="s">
        <v>74</v>
      </c>
    </row>
    <row r="12" spans="1:8" ht="25.5">
      <c r="A12" s="18">
        <v>8</v>
      </c>
      <c r="B12" s="19" t="s">
        <v>69</v>
      </c>
      <c r="C12" s="18" t="s">
        <v>89</v>
      </c>
      <c r="D12" s="18" t="s">
        <v>90</v>
      </c>
      <c r="E12" s="18" t="s">
        <v>39</v>
      </c>
      <c r="F12" s="20">
        <v>2</v>
      </c>
      <c r="G12" s="18" t="s">
        <v>78</v>
      </c>
      <c r="H12" s="21" t="s">
        <v>74</v>
      </c>
    </row>
    <row r="13" spans="1:8" ht="25.5">
      <c r="A13" s="18">
        <v>9</v>
      </c>
      <c r="B13" s="19" t="s">
        <v>69</v>
      </c>
      <c r="C13" s="18" t="s">
        <v>91</v>
      </c>
      <c r="D13" s="18" t="s">
        <v>92</v>
      </c>
      <c r="E13" s="18" t="s">
        <v>39</v>
      </c>
      <c r="F13" s="20">
        <v>2</v>
      </c>
      <c r="G13" s="18" t="s">
        <v>93</v>
      </c>
      <c r="H13" s="21" t="s">
        <v>74</v>
      </c>
    </row>
    <row r="14" spans="1:8" ht="25.5">
      <c r="A14" s="18">
        <v>10</v>
      </c>
      <c r="B14" s="22" t="s">
        <v>94</v>
      </c>
      <c r="C14" s="18" t="s">
        <v>95</v>
      </c>
      <c r="D14" s="18" t="s">
        <v>96</v>
      </c>
      <c r="E14" s="18" t="s">
        <v>77</v>
      </c>
      <c r="F14" s="20">
        <v>2</v>
      </c>
      <c r="G14" s="18" t="s">
        <v>78</v>
      </c>
      <c r="H14" s="21" t="s">
        <v>74</v>
      </c>
    </row>
    <row r="15" spans="1:8" ht="25.5">
      <c r="A15" s="18">
        <v>11</v>
      </c>
      <c r="B15" s="22" t="s">
        <v>94</v>
      </c>
      <c r="C15" s="18" t="s">
        <v>97</v>
      </c>
      <c r="D15" s="18" t="s">
        <v>98</v>
      </c>
      <c r="E15" s="18" t="s">
        <v>99</v>
      </c>
      <c r="F15" s="20">
        <v>3</v>
      </c>
      <c r="G15" s="18" t="s">
        <v>78</v>
      </c>
      <c r="H15" s="21" t="s">
        <v>74</v>
      </c>
    </row>
    <row r="16" spans="1:8" ht="25.5">
      <c r="A16" s="18">
        <v>12</v>
      </c>
      <c r="B16" s="22" t="s">
        <v>94</v>
      </c>
      <c r="C16" s="18" t="s">
        <v>100</v>
      </c>
      <c r="D16" s="18" t="s">
        <v>101</v>
      </c>
      <c r="E16" s="18" t="s">
        <v>102</v>
      </c>
      <c r="F16" s="20">
        <v>4</v>
      </c>
      <c r="G16" s="18" t="s">
        <v>103</v>
      </c>
      <c r="H16" s="21" t="s">
        <v>74</v>
      </c>
    </row>
    <row r="17" spans="1:8" ht="25.5">
      <c r="A17" s="18">
        <v>13</v>
      </c>
      <c r="B17" s="22" t="s">
        <v>94</v>
      </c>
      <c r="C17" s="18" t="s">
        <v>104</v>
      </c>
      <c r="D17" s="18" t="s">
        <v>105</v>
      </c>
      <c r="E17" s="18" t="s">
        <v>72</v>
      </c>
      <c r="F17" s="20">
        <v>4</v>
      </c>
      <c r="G17" s="18" t="s">
        <v>78</v>
      </c>
      <c r="H17" s="21" t="s">
        <v>74</v>
      </c>
    </row>
    <row r="18" spans="1:8" ht="25.5">
      <c r="A18" s="18">
        <v>14</v>
      </c>
      <c r="B18" s="22" t="s">
        <v>94</v>
      </c>
      <c r="C18" s="18" t="s">
        <v>106</v>
      </c>
      <c r="D18" s="18" t="s">
        <v>107</v>
      </c>
      <c r="E18" s="18" t="s">
        <v>102</v>
      </c>
      <c r="F18" s="20">
        <v>3</v>
      </c>
      <c r="G18" s="18" t="s">
        <v>108</v>
      </c>
      <c r="H18" s="21" t="s">
        <v>74</v>
      </c>
    </row>
    <row r="19" spans="1:8" ht="25.5">
      <c r="A19" s="18">
        <v>15</v>
      </c>
      <c r="B19" s="22" t="s">
        <v>94</v>
      </c>
      <c r="C19" s="18" t="s">
        <v>109</v>
      </c>
      <c r="D19" s="18" t="s">
        <v>110</v>
      </c>
      <c r="E19" s="18" t="s">
        <v>72</v>
      </c>
      <c r="F19" s="20">
        <v>3</v>
      </c>
      <c r="G19" s="18" t="s">
        <v>111</v>
      </c>
      <c r="H19" s="21" t="s">
        <v>74</v>
      </c>
    </row>
    <row r="20" spans="1:8" ht="25.5">
      <c r="A20" s="18">
        <v>16</v>
      </c>
      <c r="B20" s="23" t="s">
        <v>112</v>
      </c>
      <c r="C20" s="18" t="s">
        <v>113</v>
      </c>
      <c r="D20" s="18" t="s">
        <v>114</v>
      </c>
      <c r="E20" s="18" t="s">
        <v>39</v>
      </c>
      <c r="F20" s="20">
        <v>4</v>
      </c>
      <c r="G20" s="18" t="s">
        <v>78</v>
      </c>
      <c r="H20" s="21" t="s">
        <v>74</v>
      </c>
    </row>
    <row r="21" spans="1:8" ht="25.5">
      <c r="A21" s="18">
        <v>17</v>
      </c>
      <c r="B21" s="23" t="s">
        <v>112</v>
      </c>
      <c r="C21" s="18" t="s">
        <v>115</v>
      </c>
      <c r="D21" s="18" t="s">
        <v>116</v>
      </c>
      <c r="E21" s="18" t="s">
        <v>117</v>
      </c>
      <c r="F21" s="20">
        <v>6</v>
      </c>
      <c r="G21" s="18" t="s">
        <v>78</v>
      </c>
      <c r="H21" s="21" t="s">
        <v>74</v>
      </c>
    </row>
    <row r="22" spans="1:8" ht="25.5">
      <c r="A22" s="18">
        <v>18</v>
      </c>
      <c r="B22" s="23" t="s">
        <v>112</v>
      </c>
      <c r="C22" s="18" t="s">
        <v>118</v>
      </c>
      <c r="D22" s="18" t="s">
        <v>119</v>
      </c>
      <c r="E22" s="18" t="s">
        <v>120</v>
      </c>
      <c r="F22" s="20">
        <v>6</v>
      </c>
      <c r="G22" s="18" t="s">
        <v>121</v>
      </c>
      <c r="H22" s="21" t="s">
        <v>74</v>
      </c>
    </row>
    <row r="23" spans="1:8">
      <c r="A23" s="18">
        <v>19</v>
      </c>
      <c r="B23" s="23" t="s">
        <v>112</v>
      </c>
      <c r="C23" s="18" t="s">
        <v>122</v>
      </c>
      <c r="D23" s="18" t="s">
        <v>123</v>
      </c>
      <c r="E23" s="18" t="s">
        <v>117</v>
      </c>
      <c r="F23" s="20">
        <v>5</v>
      </c>
      <c r="G23" s="18" t="s">
        <v>78</v>
      </c>
      <c r="H23" s="21" t="s">
        <v>74</v>
      </c>
    </row>
    <row r="24" spans="1:8" ht="25.5">
      <c r="A24" s="18">
        <v>20</v>
      </c>
      <c r="B24" s="23" t="s">
        <v>112</v>
      </c>
      <c r="C24" s="18" t="s">
        <v>124</v>
      </c>
      <c r="D24" s="18" t="s">
        <v>125</v>
      </c>
      <c r="E24" s="18" t="s">
        <v>117</v>
      </c>
      <c r="F24" s="20">
        <v>6</v>
      </c>
      <c r="G24" s="18" t="s">
        <v>126</v>
      </c>
      <c r="H24" s="21" t="s">
        <v>74</v>
      </c>
    </row>
    <row r="25" spans="1:8" ht="25.5">
      <c r="A25" s="18">
        <v>21</v>
      </c>
      <c r="B25" s="23" t="s">
        <v>112</v>
      </c>
      <c r="C25" s="18" t="s">
        <v>127</v>
      </c>
      <c r="D25" s="18" t="s">
        <v>128</v>
      </c>
      <c r="E25" s="18" t="s">
        <v>129</v>
      </c>
      <c r="F25" s="20">
        <v>8</v>
      </c>
      <c r="G25" s="18" t="s">
        <v>130</v>
      </c>
      <c r="H25" s="21" t="s">
        <v>74</v>
      </c>
    </row>
    <row r="26" spans="1:8" ht="25.5">
      <c r="A26" s="18">
        <v>22</v>
      </c>
      <c r="B26" s="23" t="s">
        <v>112</v>
      </c>
      <c r="C26" s="18" t="s">
        <v>131</v>
      </c>
      <c r="D26" s="18" t="s">
        <v>132</v>
      </c>
      <c r="E26" s="18" t="s">
        <v>133</v>
      </c>
      <c r="F26" s="20">
        <v>5</v>
      </c>
      <c r="G26" s="18" t="s">
        <v>134</v>
      </c>
      <c r="H26" s="21" t="s">
        <v>74</v>
      </c>
    </row>
    <row r="27" spans="1:8" ht="25.5">
      <c r="A27" s="18">
        <v>23</v>
      </c>
      <c r="B27" s="23" t="s">
        <v>112</v>
      </c>
      <c r="C27" s="18" t="s">
        <v>135</v>
      </c>
      <c r="D27" s="18" t="s">
        <v>136</v>
      </c>
      <c r="E27" s="18" t="s">
        <v>137</v>
      </c>
      <c r="F27" s="20">
        <v>4</v>
      </c>
      <c r="G27" s="18" t="s">
        <v>78</v>
      </c>
      <c r="H27" s="21" t="s">
        <v>74</v>
      </c>
    </row>
    <row r="28" spans="1:8">
      <c r="A28" s="18">
        <v>24</v>
      </c>
      <c r="B28" s="23" t="s">
        <v>112</v>
      </c>
      <c r="C28" s="18" t="s">
        <v>138</v>
      </c>
      <c r="D28" s="18" t="s">
        <v>139</v>
      </c>
      <c r="E28" s="18" t="s">
        <v>102</v>
      </c>
      <c r="F28" s="20">
        <v>5</v>
      </c>
      <c r="G28" s="18" t="s">
        <v>78</v>
      </c>
      <c r="H28" s="21" t="s">
        <v>74</v>
      </c>
    </row>
    <row r="29" spans="1:8">
      <c r="A29" s="18">
        <v>25</v>
      </c>
      <c r="B29" s="23" t="s">
        <v>112</v>
      </c>
      <c r="C29" s="18" t="s">
        <v>140</v>
      </c>
      <c r="D29" s="18" t="s">
        <v>141</v>
      </c>
      <c r="E29" s="18" t="s">
        <v>142</v>
      </c>
      <c r="F29" s="20">
        <v>4</v>
      </c>
      <c r="G29" s="18" t="s">
        <v>78</v>
      </c>
      <c r="H29" s="21" t="s">
        <v>74</v>
      </c>
    </row>
    <row r="30" spans="1:8" ht="25.5">
      <c r="A30" s="18">
        <v>26</v>
      </c>
      <c r="B30" s="23" t="s">
        <v>112</v>
      </c>
      <c r="C30" s="18" t="s">
        <v>143</v>
      </c>
      <c r="D30" s="18" t="s">
        <v>144</v>
      </c>
      <c r="E30" s="18" t="s">
        <v>145</v>
      </c>
      <c r="F30" s="20">
        <v>3</v>
      </c>
      <c r="G30" s="18" t="s">
        <v>78</v>
      </c>
      <c r="H30" s="21" t="s">
        <v>74</v>
      </c>
    </row>
    <row r="31" spans="1:8" ht="25.5">
      <c r="A31" s="18">
        <v>27</v>
      </c>
      <c r="B31" s="23" t="s">
        <v>112</v>
      </c>
      <c r="C31" s="18" t="s">
        <v>146</v>
      </c>
      <c r="D31" s="18" t="s">
        <v>147</v>
      </c>
      <c r="E31" s="18" t="s">
        <v>148</v>
      </c>
      <c r="F31" s="20">
        <v>8</v>
      </c>
      <c r="G31" s="18" t="s">
        <v>149</v>
      </c>
      <c r="H31" s="21" t="s">
        <v>74</v>
      </c>
    </row>
    <row r="32" spans="1:8" ht="25.5">
      <c r="A32" s="18">
        <v>28</v>
      </c>
      <c r="B32" s="23" t="s">
        <v>112</v>
      </c>
      <c r="C32" s="18" t="s">
        <v>150</v>
      </c>
      <c r="D32" s="18" t="s">
        <v>151</v>
      </c>
      <c r="E32" s="18" t="s">
        <v>145</v>
      </c>
      <c r="F32" s="20">
        <v>5</v>
      </c>
      <c r="G32" s="18" t="s">
        <v>152</v>
      </c>
      <c r="H32" s="21" t="s">
        <v>74</v>
      </c>
    </row>
    <row r="33" spans="1:8" ht="25.5">
      <c r="A33" s="18">
        <v>29</v>
      </c>
      <c r="B33" s="23" t="s">
        <v>112</v>
      </c>
      <c r="C33" s="18" t="s">
        <v>153</v>
      </c>
      <c r="D33" s="18" t="s">
        <v>154</v>
      </c>
      <c r="E33" s="18" t="s">
        <v>155</v>
      </c>
      <c r="F33" s="20">
        <v>5</v>
      </c>
      <c r="G33" s="18" t="s">
        <v>156</v>
      </c>
      <c r="H33" s="21" t="s">
        <v>74</v>
      </c>
    </row>
    <row r="34" spans="1:8" ht="25.5">
      <c r="A34" s="18">
        <v>30</v>
      </c>
      <c r="B34" s="23" t="s">
        <v>112</v>
      </c>
      <c r="C34" s="18" t="s">
        <v>157</v>
      </c>
      <c r="D34" s="18" t="s">
        <v>158</v>
      </c>
      <c r="E34" s="18" t="s">
        <v>72</v>
      </c>
      <c r="F34" s="20">
        <v>4</v>
      </c>
      <c r="G34" s="18" t="s">
        <v>159</v>
      </c>
      <c r="H34" s="21" t="s">
        <v>74</v>
      </c>
    </row>
    <row r="35" spans="1:8" ht="25.5">
      <c r="A35" s="18">
        <v>31</v>
      </c>
      <c r="B35" s="23" t="s">
        <v>112</v>
      </c>
      <c r="C35" s="18" t="s">
        <v>160</v>
      </c>
      <c r="D35" s="18" t="s">
        <v>161</v>
      </c>
      <c r="E35" s="18" t="s">
        <v>39</v>
      </c>
      <c r="F35" s="20">
        <v>4</v>
      </c>
      <c r="G35" s="18" t="s">
        <v>162</v>
      </c>
      <c r="H35" s="21" t="s">
        <v>74</v>
      </c>
    </row>
    <row r="36" spans="1:8" ht="25.5">
      <c r="A36" s="18">
        <v>32</v>
      </c>
      <c r="B36" s="24" t="s">
        <v>163</v>
      </c>
      <c r="C36" s="18" t="s">
        <v>164</v>
      </c>
      <c r="D36" s="18" t="s">
        <v>165</v>
      </c>
      <c r="E36" s="18" t="s">
        <v>166</v>
      </c>
      <c r="F36" s="20">
        <v>8</v>
      </c>
      <c r="G36" s="18" t="s">
        <v>167</v>
      </c>
      <c r="H36" s="21" t="s">
        <v>74</v>
      </c>
    </row>
    <row r="37" spans="1:8">
      <c r="A37" s="18">
        <v>33</v>
      </c>
      <c r="B37" s="24" t="s">
        <v>163</v>
      </c>
      <c r="C37" s="18" t="s">
        <v>168</v>
      </c>
      <c r="D37" s="18" t="s">
        <v>169</v>
      </c>
      <c r="E37" s="18" t="s">
        <v>41</v>
      </c>
      <c r="F37" s="20">
        <v>10</v>
      </c>
      <c r="G37" s="18" t="s">
        <v>170</v>
      </c>
      <c r="H37" s="21" t="s">
        <v>74</v>
      </c>
    </row>
    <row r="38" spans="1:8">
      <c r="A38" s="18">
        <v>34</v>
      </c>
      <c r="B38" s="24" t="s">
        <v>163</v>
      </c>
      <c r="C38" s="18" t="s">
        <v>171</v>
      </c>
      <c r="D38" s="18" t="s">
        <v>172</v>
      </c>
      <c r="E38" s="18" t="s">
        <v>173</v>
      </c>
      <c r="F38" s="20">
        <v>0</v>
      </c>
      <c r="G38" s="18" t="s">
        <v>174</v>
      </c>
      <c r="H38" s="21" t="s">
        <v>74</v>
      </c>
    </row>
    <row r="39" spans="1:8">
      <c r="A39" s="18">
        <v>35</v>
      </c>
      <c r="B39" s="24" t="s">
        <v>163</v>
      </c>
      <c r="C39" s="18" t="s">
        <v>175</v>
      </c>
      <c r="D39" s="18" t="s">
        <v>176</v>
      </c>
      <c r="E39" s="18" t="s">
        <v>173</v>
      </c>
      <c r="F39" s="20">
        <v>0</v>
      </c>
      <c r="G39" s="18" t="s">
        <v>177</v>
      </c>
      <c r="H39" s="21" t="s">
        <v>74</v>
      </c>
    </row>
    <row r="40" spans="1:8">
      <c r="A40" s="18">
        <v>36</v>
      </c>
      <c r="B40" s="24" t="s">
        <v>163</v>
      </c>
      <c r="C40" s="18" t="s">
        <v>178</v>
      </c>
      <c r="D40" s="18" t="s">
        <v>179</v>
      </c>
      <c r="E40" s="18" t="s">
        <v>42</v>
      </c>
      <c r="F40" s="20">
        <v>0</v>
      </c>
      <c r="G40" s="18" t="s">
        <v>180</v>
      </c>
      <c r="H40" s="21" t="s">
        <v>74</v>
      </c>
    </row>
    <row r="41" spans="1:8" ht="25.5">
      <c r="A41" s="18">
        <v>37</v>
      </c>
      <c r="B41" s="25" t="s">
        <v>181</v>
      </c>
      <c r="C41" s="18" t="s">
        <v>182</v>
      </c>
      <c r="D41" s="18" t="s">
        <v>183</v>
      </c>
      <c r="E41" s="18" t="s">
        <v>39</v>
      </c>
      <c r="F41" s="20">
        <v>10</v>
      </c>
      <c r="G41" s="18" t="s">
        <v>184</v>
      </c>
      <c r="H41" s="21" t="s">
        <v>74</v>
      </c>
    </row>
    <row r="42" spans="1:8" ht="25.5">
      <c r="A42" s="18">
        <v>38</v>
      </c>
      <c r="B42" s="25" t="s">
        <v>181</v>
      </c>
      <c r="C42" s="18" t="s">
        <v>185</v>
      </c>
      <c r="D42" s="18" t="s">
        <v>183</v>
      </c>
      <c r="E42" s="18" t="s">
        <v>39</v>
      </c>
      <c r="F42" s="20">
        <v>6</v>
      </c>
      <c r="G42" s="18" t="s">
        <v>78</v>
      </c>
      <c r="H42" s="24" t="s">
        <v>186</v>
      </c>
    </row>
    <row r="43" spans="1:8" ht="25.5">
      <c r="A43" s="18">
        <v>39</v>
      </c>
      <c r="B43" s="25" t="s">
        <v>181</v>
      </c>
      <c r="C43" s="18" t="s">
        <v>187</v>
      </c>
      <c r="D43" s="18" t="s">
        <v>183</v>
      </c>
      <c r="E43" s="18" t="s">
        <v>188</v>
      </c>
      <c r="F43" s="20">
        <v>8</v>
      </c>
      <c r="G43" s="18" t="s">
        <v>189</v>
      </c>
      <c r="H43" s="24" t="s">
        <v>186</v>
      </c>
    </row>
    <row r="44" spans="1:8" ht="25.5">
      <c r="A44" s="18">
        <v>40</v>
      </c>
      <c r="B44" s="25" t="s">
        <v>181</v>
      </c>
      <c r="C44" s="18" t="s">
        <v>190</v>
      </c>
      <c r="D44" s="18" t="s">
        <v>183</v>
      </c>
      <c r="E44" s="18" t="s">
        <v>191</v>
      </c>
      <c r="F44" s="20">
        <v>12</v>
      </c>
      <c r="G44" s="18" t="s">
        <v>192</v>
      </c>
      <c r="H44" s="24" t="s">
        <v>186</v>
      </c>
    </row>
    <row r="45" spans="1:8" ht="25.5">
      <c r="A45" s="18">
        <v>41</v>
      </c>
      <c r="B45" s="25" t="s">
        <v>181</v>
      </c>
      <c r="C45" s="18" t="s">
        <v>193</v>
      </c>
      <c r="D45" s="18" t="s">
        <v>183</v>
      </c>
      <c r="E45" s="18" t="s">
        <v>194</v>
      </c>
      <c r="F45" s="20">
        <v>20</v>
      </c>
      <c r="G45" s="18" t="s">
        <v>195</v>
      </c>
      <c r="H45" s="24" t="s">
        <v>186</v>
      </c>
    </row>
    <row r="47" spans="1:8">
      <c r="B47" s="5" t="s">
        <v>196</v>
      </c>
    </row>
    <row r="48" spans="1:8">
      <c r="B48" s="7" t="s">
        <v>62</v>
      </c>
      <c r="C48" s="7" t="s">
        <v>197</v>
      </c>
      <c r="D48" s="7" t="s">
        <v>198</v>
      </c>
      <c r="E48" s="7" t="s">
        <v>199</v>
      </c>
    </row>
    <row r="49" spans="2:5">
      <c r="B49" s="26" t="s">
        <v>69</v>
      </c>
      <c r="C49" s="2">
        <f>COUNTIF($B$5:$B$45,B49)</f>
        <v>9</v>
      </c>
      <c r="D49" s="2">
        <f>SUMIF($B$5:$B$45,B49,$F$5:$F$45)</f>
        <v>19</v>
      </c>
      <c r="E49" s="14">
        <f>D49/8</f>
        <v>2.375</v>
      </c>
    </row>
    <row r="50" spans="2:5">
      <c r="B50" s="11" t="s">
        <v>94</v>
      </c>
      <c r="C50" s="2">
        <f>COUNTIF($B$5:$B$45,B50)</f>
        <v>6</v>
      </c>
      <c r="D50" s="2">
        <f>SUMIF($B$5:$B$45,B50,$F$5:$F$45)</f>
        <v>19</v>
      </c>
      <c r="E50" s="14">
        <f>D50/8</f>
        <v>2.375</v>
      </c>
    </row>
    <row r="51" spans="2:5">
      <c r="B51" s="27" t="s">
        <v>112</v>
      </c>
      <c r="C51" s="2">
        <f>COUNTIF($B$5:$B$45,B51)</f>
        <v>16</v>
      </c>
      <c r="D51" s="2">
        <f>SUMIF($B$5:$B$45,B51,$F$5:$F$45)</f>
        <v>82</v>
      </c>
      <c r="E51" s="14">
        <f>D51/8</f>
        <v>10.25</v>
      </c>
    </row>
    <row r="52" spans="2:5">
      <c r="B52" s="12" t="s">
        <v>163</v>
      </c>
      <c r="C52" s="2">
        <f>COUNTIF($B$5:$B$45,B52)</f>
        <v>5</v>
      </c>
      <c r="D52" s="2">
        <f>SUMIF($B$5:$B$45,B52,$F$5:$F$45)</f>
        <v>18</v>
      </c>
      <c r="E52" s="14">
        <f>D52/8</f>
        <v>2.25</v>
      </c>
    </row>
    <row r="53" spans="2:5">
      <c r="B53" s="13" t="s">
        <v>181</v>
      </c>
      <c r="C53" s="2">
        <f>COUNTIF($B$5:$B$45,B53)</f>
        <v>5</v>
      </c>
      <c r="D53" s="2">
        <f>SUMIF($B$5:$B$45,B53,$F$5:$F$45)</f>
        <v>56</v>
      </c>
      <c r="E53" s="14">
        <f>D53/8</f>
        <v>7</v>
      </c>
    </row>
    <row r="54" spans="2:5">
      <c r="B54" s="5" t="s">
        <v>33</v>
      </c>
      <c r="C54" s="5">
        <f>SUM(C49:C53)</f>
        <v>41</v>
      </c>
      <c r="D54" s="5">
        <f>SUM(D49:D53)</f>
        <v>194</v>
      </c>
      <c r="E54" s="15">
        <f>SUM(E49:E53)</f>
        <v>24.25</v>
      </c>
    </row>
    <row r="56" spans="2:5">
      <c r="B56" s="4" t="s">
        <v>200</v>
      </c>
    </row>
  </sheetData>
  <autoFilter ref="A4:H45"/>
  <dataValidations count="1">
    <dataValidation type="list" allowBlank="1" sqref="H5:H45">
      <formula1>"Not started,In progress,Done,Deferred"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8"/>
  <sheetViews>
    <sheetView workbookViewId="0">
      <pane xSplit="2" ySplit="1" topLeftCell="C62" activePane="bottomRight" state="frozen"/>
      <selection pane="topRight"/>
      <selection pane="bottomLeft"/>
      <selection pane="bottomRight" activeCell="E15" sqref="E15"/>
    </sheetView>
  </sheetViews>
  <sheetFormatPr defaultRowHeight="15"/>
  <cols>
    <col min="1" max="1" width="8" customWidth="1"/>
    <col min="2" max="2" width="20" customWidth="1"/>
    <col min="3" max="3" width="46" customWidth="1"/>
    <col min="4" max="4" width="9" customWidth="1"/>
    <col min="5" max="5" width="52" customWidth="1"/>
    <col min="6" max="6" width="20" customWidth="1"/>
    <col min="7" max="7" width="13" customWidth="1"/>
    <col min="8" max="8" width="11" customWidth="1"/>
    <col min="9" max="9" width="9" customWidth="1"/>
    <col min="10" max="10" width="6" customWidth="1"/>
    <col min="11" max="11" width="13" customWidth="1"/>
    <col min="12" max="12" width="16" customWidth="1"/>
    <col min="13" max="13" width="52" customWidth="1"/>
    <col min="14" max="14" width="30" customWidth="1"/>
  </cols>
  <sheetData>
    <row r="1" spans="1:14" ht="25.5">
      <c r="A1" s="28" t="s">
        <v>201</v>
      </c>
      <c r="B1" s="28" t="s">
        <v>202</v>
      </c>
      <c r="C1" s="28" t="s">
        <v>203</v>
      </c>
      <c r="D1" s="28" t="s">
        <v>204</v>
      </c>
      <c r="E1" s="28" t="s">
        <v>205</v>
      </c>
      <c r="F1" s="28" t="s">
        <v>206</v>
      </c>
      <c r="G1" s="28" t="s">
        <v>35</v>
      </c>
      <c r="H1" s="28" t="s">
        <v>207</v>
      </c>
      <c r="I1" s="28" t="s">
        <v>50</v>
      </c>
      <c r="J1" s="28" t="s">
        <v>208</v>
      </c>
      <c r="K1" s="28" t="s">
        <v>45</v>
      </c>
      <c r="L1" s="28" t="s">
        <v>25</v>
      </c>
      <c r="M1" s="28" t="s">
        <v>209</v>
      </c>
      <c r="N1" s="28" t="s">
        <v>210</v>
      </c>
    </row>
    <row r="2" spans="1:14" ht="25.5">
      <c r="A2" s="18" t="s">
        <v>211</v>
      </c>
      <c r="B2" s="18" t="s">
        <v>212</v>
      </c>
      <c r="C2" s="18" t="s">
        <v>213</v>
      </c>
      <c r="D2" s="18" t="s">
        <v>214</v>
      </c>
      <c r="E2" s="18" t="s">
        <v>215</v>
      </c>
      <c r="F2" s="18" t="s">
        <v>38</v>
      </c>
      <c r="G2" s="19" t="s">
        <v>38</v>
      </c>
      <c r="H2" s="18" t="s">
        <v>54</v>
      </c>
      <c r="I2" s="18" t="s">
        <v>54</v>
      </c>
      <c r="J2" s="18" t="s">
        <v>20</v>
      </c>
      <c r="K2" s="18" t="s">
        <v>47</v>
      </c>
      <c r="L2" s="21" t="s">
        <v>28</v>
      </c>
      <c r="M2" s="18" t="s">
        <v>216</v>
      </c>
      <c r="N2" s="18"/>
    </row>
    <row r="3" spans="1:14" ht="51">
      <c r="A3" s="18" t="s">
        <v>217</v>
      </c>
      <c r="B3" s="18" t="s">
        <v>212</v>
      </c>
      <c r="C3" s="18" t="s">
        <v>218</v>
      </c>
      <c r="D3" s="18" t="s">
        <v>219</v>
      </c>
      <c r="E3" s="18" t="s">
        <v>220</v>
      </c>
      <c r="F3" s="18" t="s">
        <v>221</v>
      </c>
      <c r="G3" s="23" t="s">
        <v>40</v>
      </c>
      <c r="H3" s="18" t="s">
        <v>54</v>
      </c>
      <c r="I3" s="18" t="s">
        <v>54</v>
      </c>
      <c r="J3" s="18" t="s">
        <v>23</v>
      </c>
      <c r="K3" s="18" t="s">
        <v>48</v>
      </c>
      <c r="L3" s="21" t="s">
        <v>28</v>
      </c>
      <c r="M3" s="18" t="s">
        <v>222</v>
      </c>
      <c r="N3" s="18" t="s">
        <v>223</v>
      </c>
    </row>
    <row r="4" spans="1:14" ht="25.5">
      <c r="A4" s="18" t="s">
        <v>224</v>
      </c>
      <c r="B4" s="18" t="s">
        <v>212</v>
      </c>
      <c r="C4" s="18" t="s">
        <v>225</v>
      </c>
      <c r="D4" s="18" t="s">
        <v>214</v>
      </c>
      <c r="E4" s="18" t="s">
        <v>226</v>
      </c>
      <c r="F4" s="18" t="s">
        <v>38</v>
      </c>
      <c r="G4" s="19" t="s">
        <v>38</v>
      </c>
      <c r="H4" s="18" t="s">
        <v>54</v>
      </c>
      <c r="I4" s="18" t="s">
        <v>54</v>
      </c>
      <c r="J4" s="18" t="s">
        <v>20</v>
      </c>
      <c r="K4" s="18" t="s">
        <v>47</v>
      </c>
      <c r="L4" s="21" t="s">
        <v>28</v>
      </c>
      <c r="M4" s="18" t="s">
        <v>227</v>
      </c>
      <c r="N4" s="18"/>
    </row>
    <row r="5" spans="1:14" ht="38.25">
      <c r="A5" s="18" t="s">
        <v>228</v>
      </c>
      <c r="B5" s="18" t="s">
        <v>212</v>
      </c>
      <c r="C5" s="18" t="s">
        <v>229</v>
      </c>
      <c r="D5" s="18" t="s">
        <v>219</v>
      </c>
      <c r="E5" s="18" t="s">
        <v>230</v>
      </c>
      <c r="F5" s="18" t="s">
        <v>39</v>
      </c>
      <c r="G5" s="22" t="s">
        <v>39</v>
      </c>
      <c r="H5" s="18" t="s">
        <v>54</v>
      </c>
      <c r="I5" s="18" t="s">
        <v>54</v>
      </c>
      <c r="J5" s="18" t="s">
        <v>20</v>
      </c>
      <c r="K5" s="18" t="s">
        <v>36</v>
      </c>
      <c r="L5" s="21" t="s">
        <v>28</v>
      </c>
      <c r="M5" s="18" t="s">
        <v>231</v>
      </c>
      <c r="N5" s="18"/>
    </row>
    <row r="6" spans="1:14" ht="25.5">
      <c r="A6" s="18" t="s">
        <v>232</v>
      </c>
      <c r="B6" s="18" t="s">
        <v>212</v>
      </c>
      <c r="C6" s="18" t="s">
        <v>233</v>
      </c>
      <c r="D6" s="18" t="s">
        <v>214</v>
      </c>
      <c r="E6" s="18" t="s">
        <v>234</v>
      </c>
      <c r="F6" s="18" t="s">
        <v>38</v>
      </c>
      <c r="G6" s="19" t="s">
        <v>38</v>
      </c>
      <c r="H6" s="18" t="s">
        <v>54</v>
      </c>
      <c r="I6" s="18" t="s">
        <v>54</v>
      </c>
      <c r="J6" s="18" t="s">
        <v>20</v>
      </c>
      <c r="K6" s="18" t="s">
        <v>47</v>
      </c>
      <c r="L6" s="21" t="s">
        <v>28</v>
      </c>
      <c r="M6" s="18" t="s">
        <v>235</v>
      </c>
      <c r="N6" s="18"/>
    </row>
    <row r="7" spans="1:14" ht="25.5">
      <c r="A7" s="18" t="s">
        <v>236</v>
      </c>
      <c r="B7" s="18" t="s">
        <v>237</v>
      </c>
      <c r="C7" s="18" t="s">
        <v>238</v>
      </c>
      <c r="D7" s="18" t="s">
        <v>214</v>
      </c>
      <c r="E7" s="18" t="s">
        <v>239</v>
      </c>
      <c r="F7" s="18" t="s">
        <v>39</v>
      </c>
      <c r="G7" s="22" t="s">
        <v>39</v>
      </c>
      <c r="H7" s="18" t="s">
        <v>54</v>
      </c>
      <c r="I7" s="18" t="s">
        <v>54</v>
      </c>
      <c r="J7" s="18" t="s">
        <v>20</v>
      </c>
      <c r="K7" s="18" t="s">
        <v>47</v>
      </c>
      <c r="L7" s="21" t="s">
        <v>28</v>
      </c>
      <c r="M7" s="18" t="s">
        <v>240</v>
      </c>
      <c r="N7" s="18"/>
    </row>
    <row r="8" spans="1:14" ht="25.5">
      <c r="A8" s="18" t="s">
        <v>241</v>
      </c>
      <c r="B8" s="18" t="s">
        <v>237</v>
      </c>
      <c r="C8" s="18" t="s">
        <v>242</v>
      </c>
      <c r="D8" s="18" t="s">
        <v>214</v>
      </c>
      <c r="E8" s="18" t="s">
        <v>243</v>
      </c>
      <c r="F8" s="18" t="s">
        <v>38</v>
      </c>
      <c r="G8" s="19" t="s">
        <v>38</v>
      </c>
      <c r="H8" s="18" t="s">
        <v>54</v>
      </c>
      <c r="I8" s="18" t="s">
        <v>54</v>
      </c>
      <c r="J8" s="18" t="s">
        <v>20</v>
      </c>
      <c r="K8" s="18" t="s">
        <v>47</v>
      </c>
      <c r="L8" s="21" t="s">
        <v>28</v>
      </c>
      <c r="M8" s="18" t="s">
        <v>244</v>
      </c>
      <c r="N8" s="18"/>
    </row>
    <row r="9" spans="1:14" ht="38.25">
      <c r="A9" s="18" t="s">
        <v>245</v>
      </c>
      <c r="B9" s="18" t="s">
        <v>237</v>
      </c>
      <c r="C9" s="18" t="s">
        <v>246</v>
      </c>
      <c r="D9" s="18" t="s">
        <v>219</v>
      </c>
      <c r="E9" s="18" t="s">
        <v>247</v>
      </c>
      <c r="F9" s="18" t="s">
        <v>248</v>
      </c>
      <c r="G9" s="22" t="s">
        <v>39</v>
      </c>
      <c r="H9" s="18" t="s">
        <v>249</v>
      </c>
      <c r="I9" s="18" t="s">
        <v>54</v>
      </c>
      <c r="J9" s="18" t="s">
        <v>22</v>
      </c>
      <c r="K9" s="18" t="s">
        <v>36</v>
      </c>
      <c r="L9" s="21" t="s">
        <v>28</v>
      </c>
      <c r="M9" s="18" t="s">
        <v>250</v>
      </c>
      <c r="N9" s="18"/>
    </row>
    <row r="10" spans="1:14" ht="38.25">
      <c r="A10" s="18" t="s">
        <v>251</v>
      </c>
      <c r="B10" s="18" t="s">
        <v>237</v>
      </c>
      <c r="C10" s="18" t="s">
        <v>252</v>
      </c>
      <c r="D10" s="18" t="s">
        <v>214</v>
      </c>
      <c r="E10" s="18" t="s">
        <v>253</v>
      </c>
      <c r="F10" s="18" t="s">
        <v>254</v>
      </c>
      <c r="G10" s="23" t="s">
        <v>40</v>
      </c>
      <c r="H10" s="18" t="s">
        <v>54</v>
      </c>
      <c r="I10" s="18" t="s">
        <v>54</v>
      </c>
      <c r="J10" s="18" t="s">
        <v>22</v>
      </c>
      <c r="K10" s="18" t="s">
        <v>48</v>
      </c>
      <c r="L10" s="21" t="s">
        <v>28</v>
      </c>
      <c r="M10" s="18" t="s">
        <v>255</v>
      </c>
      <c r="N10" s="18"/>
    </row>
    <row r="11" spans="1:14" ht="38.25">
      <c r="A11" s="18" t="s">
        <v>256</v>
      </c>
      <c r="B11" s="18" t="s">
        <v>237</v>
      </c>
      <c r="C11" s="18" t="s">
        <v>257</v>
      </c>
      <c r="D11" s="18" t="s">
        <v>214</v>
      </c>
      <c r="E11" s="18" t="s">
        <v>258</v>
      </c>
      <c r="F11" s="18" t="s">
        <v>38</v>
      </c>
      <c r="G11" s="19" t="s">
        <v>38</v>
      </c>
      <c r="H11" s="18" t="s">
        <v>57</v>
      </c>
      <c r="I11" s="18" t="s">
        <v>57</v>
      </c>
      <c r="J11" s="18" t="s">
        <v>20</v>
      </c>
      <c r="K11" s="18" t="s">
        <v>47</v>
      </c>
      <c r="L11" s="21" t="s">
        <v>28</v>
      </c>
      <c r="M11" s="18" t="s">
        <v>259</v>
      </c>
      <c r="N11" s="18"/>
    </row>
    <row r="12" spans="1:14" ht="25.5">
      <c r="A12" s="18" t="s">
        <v>260</v>
      </c>
      <c r="B12" s="18" t="s">
        <v>237</v>
      </c>
      <c r="C12" s="18" t="s">
        <v>261</v>
      </c>
      <c r="D12" s="18" t="s">
        <v>262</v>
      </c>
      <c r="E12" s="18" t="s">
        <v>263</v>
      </c>
      <c r="F12" s="18" t="s">
        <v>38</v>
      </c>
      <c r="G12" s="19" t="s">
        <v>38</v>
      </c>
      <c r="H12" s="18" t="s">
        <v>56</v>
      </c>
      <c r="I12" s="18" t="s">
        <v>56</v>
      </c>
      <c r="J12" s="18" t="s">
        <v>20</v>
      </c>
      <c r="K12" s="18" t="s">
        <v>36</v>
      </c>
      <c r="L12" s="21" t="s">
        <v>28</v>
      </c>
      <c r="M12" s="18" t="s">
        <v>264</v>
      </c>
      <c r="N12" s="18"/>
    </row>
    <row r="13" spans="1:14" ht="51">
      <c r="A13" s="18" t="s">
        <v>101</v>
      </c>
      <c r="B13" s="18" t="s">
        <v>237</v>
      </c>
      <c r="C13" s="18" t="s">
        <v>265</v>
      </c>
      <c r="D13" s="18" t="s">
        <v>262</v>
      </c>
      <c r="E13" s="18" t="s">
        <v>266</v>
      </c>
      <c r="F13" s="18" t="s">
        <v>267</v>
      </c>
      <c r="G13" s="23" t="s">
        <v>40</v>
      </c>
      <c r="H13" s="18" t="s">
        <v>56</v>
      </c>
      <c r="I13" s="18" t="s">
        <v>56</v>
      </c>
      <c r="J13" s="18" t="s">
        <v>20</v>
      </c>
      <c r="K13" s="18" t="s">
        <v>48</v>
      </c>
      <c r="L13" s="21" t="s">
        <v>28</v>
      </c>
      <c r="M13" s="18" t="s">
        <v>268</v>
      </c>
      <c r="N13" s="18" t="s">
        <v>269</v>
      </c>
    </row>
    <row r="14" spans="1:14" ht="38.25">
      <c r="A14" s="18" t="s">
        <v>270</v>
      </c>
      <c r="B14" s="18" t="s">
        <v>237</v>
      </c>
      <c r="C14" s="18" t="s">
        <v>271</v>
      </c>
      <c r="D14" s="18" t="s">
        <v>272</v>
      </c>
      <c r="E14" s="18" t="s">
        <v>273</v>
      </c>
      <c r="F14" s="18" t="s">
        <v>267</v>
      </c>
      <c r="G14" s="23" t="s">
        <v>40</v>
      </c>
      <c r="H14" s="18" t="s">
        <v>56</v>
      </c>
      <c r="I14" s="18" t="s">
        <v>56</v>
      </c>
      <c r="J14" s="18" t="s">
        <v>20</v>
      </c>
      <c r="K14" s="18" t="s">
        <v>274</v>
      </c>
      <c r="L14" s="21" t="s">
        <v>28</v>
      </c>
      <c r="M14" s="18" t="s">
        <v>275</v>
      </c>
      <c r="N14" s="18"/>
    </row>
    <row r="15" spans="1:14" ht="38.25">
      <c r="A15" s="18" t="s">
        <v>161</v>
      </c>
      <c r="B15" s="18" t="s">
        <v>237</v>
      </c>
      <c r="C15" s="18" t="s">
        <v>276</v>
      </c>
      <c r="D15" s="18" t="s">
        <v>262</v>
      </c>
      <c r="E15" s="18" t="s">
        <v>277</v>
      </c>
      <c r="F15" s="18" t="s">
        <v>39</v>
      </c>
      <c r="G15" s="22" t="s">
        <v>39</v>
      </c>
      <c r="H15" s="18" t="s">
        <v>58</v>
      </c>
      <c r="I15" s="18" t="s">
        <v>58</v>
      </c>
      <c r="J15" s="18" t="s">
        <v>20</v>
      </c>
      <c r="K15" s="18" t="s">
        <v>48</v>
      </c>
      <c r="L15" s="21" t="s">
        <v>28</v>
      </c>
      <c r="M15" s="18" t="s">
        <v>278</v>
      </c>
      <c r="N15" s="18" t="s">
        <v>279</v>
      </c>
    </row>
    <row r="16" spans="1:14" ht="63.75">
      <c r="A16" s="18" t="s">
        <v>280</v>
      </c>
      <c r="B16" s="18" t="s">
        <v>281</v>
      </c>
      <c r="C16" s="18" t="s">
        <v>282</v>
      </c>
      <c r="D16" s="18" t="s">
        <v>272</v>
      </c>
      <c r="E16" s="18" t="s">
        <v>283</v>
      </c>
      <c r="F16" s="18" t="s">
        <v>39</v>
      </c>
      <c r="G16" s="22" t="s">
        <v>39</v>
      </c>
      <c r="H16" s="18" t="s">
        <v>54</v>
      </c>
      <c r="I16" s="18" t="s">
        <v>54</v>
      </c>
      <c r="J16" s="18" t="s">
        <v>20</v>
      </c>
      <c r="K16" s="18" t="s">
        <v>36</v>
      </c>
      <c r="L16" s="21" t="s">
        <v>28</v>
      </c>
      <c r="M16" s="18" t="s">
        <v>284</v>
      </c>
      <c r="N16" s="18"/>
    </row>
    <row r="17" spans="1:14" ht="51">
      <c r="A17" s="18" t="s">
        <v>136</v>
      </c>
      <c r="B17" s="18" t="s">
        <v>281</v>
      </c>
      <c r="C17" s="18" t="s">
        <v>285</v>
      </c>
      <c r="D17" s="18" t="s">
        <v>272</v>
      </c>
      <c r="E17" s="18" t="s">
        <v>286</v>
      </c>
      <c r="F17" s="18" t="s">
        <v>39</v>
      </c>
      <c r="G17" s="22" t="s">
        <v>39</v>
      </c>
      <c r="H17" s="18" t="s">
        <v>55</v>
      </c>
      <c r="I17" s="18" t="s">
        <v>55</v>
      </c>
      <c r="J17" s="18" t="s">
        <v>20</v>
      </c>
      <c r="K17" s="18" t="s">
        <v>36</v>
      </c>
      <c r="L17" s="21" t="s">
        <v>28</v>
      </c>
      <c r="M17" s="18" t="s">
        <v>287</v>
      </c>
      <c r="N17" s="18"/>
    </row>
    <row r="18" spans="1:14" ht="25.5">
      <c r="A18" s="18" t="s">
        <v>288</v>
      </c>
      <c r="B18" s="18" t="s">
        <v>281</v>
      </c>
      <c r="C18" s="18" t="s">
        <v>289</v>
      </c>
      <c r="D18" s="18" t="s">
        <v>272</v>
      </c>
      <c r="E18" s="18" t="s">
        <v>290</v>
      </c>
      <c r="F18" s="18" t="s">
        <v>291</v>
      </c>
      <c r="G18" s="23" t="s">
        <v>40</v>
      </c>
      <c r="H18" s="18" t="s">
        <v>55</v>
      </c>
      <c r="I18" s="18" t="s">
        <v>55</v>
      </c>
      <c r="J18" s="18" t="s">
        <v>22</v>
      </c>
      <c r="K18" s="18" t="s">
        <v>48</v>
      </c>
      <c r="L18" s="21" t="s">
        <v>28</v>
      </c>
      <c r="M18" s="18" t="s">
        <v>292</v>
      </c>
      <c r="N18" s="18" t="s">
        <v>293</v>
      </c>
    </row>
    <row r="19" spans="1:14" ht="38.25">
      <c r="A19" s="18" t="s">
        <v>294</v>
      </c>
      <c r="B19" s="18" t="s">
        <v>281</v>
      </c>
      <c r="C19" s="18" t="s">
        <v>295</v>
      </c>
      <c r="D19" s="18" t="s">
        <v>296</v>
      </c>
      <c r="E19" s="18" t="s">
        <v>297</v>
      </c>
      <c r="F19" s="18" t="s">
        <v>267</v>
      </c>
      <c r="G19" s="23" t="s">
        <v>40</v>
      </c>
      <c r="H19" s="18" t="s">
        <v>56</v>
      </c>
      <c r="I19" s="18" t="s">
        <v>56</v>
      </c>
      <c r="J19" s="18" t="s">
        <v>22</v>
      </c>
      <c r="K19" s="18" t="s">
        <v>47</v>
      </c>
      <c r="L19" s="21" t="s">
        <v>28</v>
      </c>
      <c r="M19" s="18" t="s">
        <v>298</v>
      </c>
      <c r="N19" s="18"/>
    </row>
    <row r="20" spans="1:14" ht="25.5">
      <c r="A20" s="18" t="s">
        <v>299</v>
      </c>
      <c r="B20" s="18" t="s">
        <v>281</v>
      </c>
      <c r="C20" s="18" t="s">
        <v>300</v>
      </c>
      <c r="D20" s="18" t="s">
        <v>262</v>
      </c>
      <c r="E20" s="18" t="s">
        <v>301</v>
      </c>
      <c r="F20" s="18" t="s">
        <v>302</v>
      </c>
      <c r="G20" s="19" t="s">
        <v>38</v>
      </c>
      <c r="H20" s="18" t="s">
        <v>303</v>
      </c>
      <c r="I20" s="18" t="s">
        <v>55</v>
      </c>
      <c r="J20" s="18" t="s">
        <v>20</v>
      </c>
      <c r="K20" s="18" t="s">
        <v>47</v>
      </c>
      <c r="L20" s="21" t="s">
        <v>28</v>
      </c>
      <c r="M20" s="18" t="s">
        <v>304</v>
      </c>
      <c r="N20" s="18"/>
    </row>
    <row r="21" spans="1:14" ht="38.25">
      <c r="A21" s="18" t="s">
        <v>305</v>
      </c>
      <c r="B21" s="18" t="s">
        <v>281</v>
      </c>
      <c r="C21" s="18" t="s">
        <v>306</v>
      </c>
      <c r="D21" s="18" t="s">
        <v>262</v>
      </c>
      <c r="E21" s="18" t="s">
        <v>307</v>
      </c>
      <c r="F21" s="18" t="s">
        <v>308</v>
      </c>
      <c r="G21" s="23" t="s">
        <v>40</v>
      </c>
      <c r="H21" s="18" t="s">
        <v>309</v>
      </c>
      <c r="I21" s="18" t="s">
        <v>55</v>
      </c>
      <c r="J21" s="18" t="s">
        <v>22</v>
      </c>
      <c r="K21" s="18" t="s">
        <v>48</v>
      </c>
      <c r="L21" s="21" t="s">
        <v>28</v>
      </c>
      <c r="M21" s="18" t="s">
        <v>310</v>
      </c>
      <c r="N21" s="18" t="s">
        <v>311</v>
      </c>
    </row>
    <row r="22" spans="1:14" ht="25.5">
      <c r="A22" s="18" t="s">
        <v>312</v>
      </c>
      <c r="B22" s="18" t="s">
        <v>281</v>
      </c>
      <c r="C22" s="18" t="s">
        <v>313</v>
      </c>
      <c r="D22" s="18" t="s">
        <v>314</v>
      </c>
      <c r="E22" s="18" t="s">
        <v>315</v>
      </c>
      <c r="F22" s="18" t="s">
        <v>38</v>
      </c>
      <c r="G22" s="19" t="s">
        <v>38</v>
      </c>
      <c r="H22" s="18" t="s">
        <v>316</v>
      </c>
      <c r="I22" s="18" t="s">
        <v>56</v>
      </c>
      <c r="J22" s="18" t="s">
        <v>20</v>
      </c>
      <c r="K22" s="18" t="s">
        <v>47</v>
      </c>
      <c r="L22" s="21" t="s">
        <v>28</v>
      </c>
      <c r="M22" s="18" t="s">
        <v>317</v>
      </c>
      <c r="N22" s="18"/>
    </row>
    <row r="23" spans="1:14" ht="25.5">
      <c r="A23" s="18" t="s">
        <v>318</v>
      </c>
      <c r="B23" s="18" t="s">
        <v>281</v>
      </c>
      <c r="C23" s="18" t="s">
        <v>319</v>
      </c>
      <c r="D23" s="18" t="s">
        <v>262</v>
      </c>
      <c r="E23" s="18" t="s">
        <v>320</v>
      </c>
      <c r="F23" s="18" t="s">
        <v>321</v>
      </c>
      <c r="G23" s="19" t="s">
        <v>38</v>
      </c>
      <c r="H23" s="18" t="s">
        <v>55</v>
      </c>
      <c r="I23" s="18" t="s">
        <v>55</v>
      </c>
      <c r="J23" s="18" t="s">
        <v>20</v>
      </c>
      <c r="K23" s="18" t="s">
        <v>47</v>
      </c>
      <c r="L23" s="21" t="s">
        <v>28</v>
      </c>
      <c r="M23" s="18" t="s">
        <v>322</v>
      </c>
      <c r="N23" s="18"/>
    </row>
    <row r="24" spans="1:14" ht="25.5">
      <c r="A24" s="18" t="s">
        <v>323</v>
      </c>
      <c r="B24" s="18" t="s">
        <v>281</v>
      </c>
      <c r="C24" s="18" t="s">
        <v>324</v>
      </c>
      <c r="D24" s="18" t="s">
        <v>262</v>
      </c>
      <c r="E24" s="18" t="s">
        <v>325</v>
      </c>
      <c r="F24" s="18" t="s">
        <v>321</v>
      </c>
      <c r="G24" s="19" t="s">
        <v>38</v>
      </c>
      <c r="H24" s="18" t="s">
        <v>56</v>
      </c>
      <c r="I24" s="18" t="s">
        <v>56</v>
      </c>
      <c r="J24" s="18" t="s">
        <v>20</v>
      </c>
      <c r="K24" s="18" t="s">
        <v>36</v>
      </c>
      <c r="L24" s="21" t="s">
        <v>28</v>
      </c>
      <c r="M24" s="18" t="s">
        <v>326</v>
      </c>
      <c r="N24" s="18"/>
    </row>
    <row r="25" spans="1:14">
      <c r="A25" s="18" t="s">
        <v>327</v>
      </c>
      <c r="B25" s="18" t="s">
        <v>281</v>
      </c>
      <c r="C25" s="18" t="s">
        <v>328</v>
      </c>
      <c r="D25" s="18" t="s">
        <v>262</v>
      </c>
      <c r="E25" s="18" t="s">
        <v>329</v>
      </c>
      <c r="F25" s="18" t="s">
        <v>39</v>
      </c>
      <c r="G25" s="22" t="s">
        <v>39</v>
      </c>
      <c r="H25" s="18" t="s">
        <v>53</v>
      </c>
      <c r="I25" s="18" t="s">
        <v>53</v>
      </c>
      <c r="J25" s="18" t="s">
        <v>20</v>
      </c>
      <c r="K25" s="18" t="s">
        <v>47</v>
      </c>
      <c r="L25" s="21" t="s">
        <v>28</v>
      </c>
      <c r="M25" s="18" t="s">
        <v>330</v>
      </c>
      <c r="N25" s="18"/>
    </row>
    <row r="26" spans="1:14" ht="25.5">
      <c r="A26" s="18" t="s">
        <v>331</v>
      </c>
      <c r="B26" s="18" t="s">
        <v>281</v>
      </c>
      <c r="C26" s="18" t="s">
        <v>332</v>
      </c>
      <c r="D26" s="18" t="s">
        <v>262</v>
      </c>
      <c r="E26" s="18" t="s">
        <v>333</v>
      </c>
      <c r="F26" s="18" t="s">
        <v>38</v>
      </c>
      <c r="G26" s="19" t="s">
        <v>38</v>
      </c>
      <c r="H26" s="18" t="s">
        <v>54</v>
      </c>
      <c r="I26" s="18" t="s">
        <v>54</v>
      </c>
      <c r="J26" s="18" t="s">
        <v>20</v>
      </c>
      <c r="K26" s="18" t="s">
        <v>47</v>
      </c>
      <c r="L26" s="21" t="s">
        <v>28</v>
      </c>
      <c r="M26" s="18" t="s">
        <v>334</v>
      </c>
      <c r="N26" s="18"/>
    </row>
    <row r="27" spans="1:14" ht="25.5">
      <c r="A27" s="18" t="s">
        <v>335</v>
      </c>
      <c r="B27" s="18" t="s">
        <v>281</v>
      </c>
      <c r="C27" s="18" t="s">
        <v>336</v>
      </c>
      <c r="D27" s="18" t="s">
        <v>262</v>
      </c>
      <c r="E27" s="18" t="s">
        <v>337</v>
      </c>
      <c r="F27" s="18" t="s">
        <v>338</v>
      </c>
      <c r="G27" s="19" t="s">
        <v>38</v>
      </c>
      <c r="H27" s="18" t="s">
        <v>339</v>
      </c>
      <c r="I27" s="18" t="s">
        <v>53</v>
      </c>
      <c r="J27" s="18" t="s">
        <v>20</v>
      </c>
      <c r="K27" s="18" t="s">
        <v>47</v>
      </c>
      <c r="L27" s="21" t="s">
        <v>28</v>
      </c>
      <c r="M27" s="18" t="s">
        <v>340</v>
      </c>
      <c r="N27" s="18"/>
    </row>
    <row r="28" spans="1:14" ht="25.5">
      <c r="A28" s="18" t="s">
        <v>341</v>
      </c>
      <c r="B28" s="18" t="s">
        <v>281</v>
      </c>
      <c r="C28" s="18" t="s">
        <v>342</v>
      </c>
      <c r="D28" s="18" t="s">
        <v>262</v>
      </c>
      <c r="E28" s="18" t="s">
        <v>343</v>
      </c>
      <c r="F28" s="18" t="s">
        <v>344</v>
      </c>
      <c r="G28" s="23" t="s">
        <v>40</v>
      </c>
      <c r="H28" s="18" t="s">
        <v>345</v>
      </c>
      <c r="I28" s="18" t="s">
        <v>54</v>
      </c>
      <c r="J28" s="18" t="s">
        <v>22</v>
      </c>
      <c r="K28" s="18" t="s">
        <v>48</v>
      </c>
      <c r="L28" s="21" t="s">
        <v>28</v>
      </c>
      <c r="M28" s="18" t="s">
        <v>346</v>
      </c>
      <c r="N28" s="18" t="s">
        <v>347</v>
      </c>
    </row>
    <row r="29" spans="1:14" ht="51">
      <c r="A29" s="18" t="s">
        <v>125</v>
      </c>
      <c r="B29" s="18" t="s">
        <v>281</v>
      </c>
      <c r="C29" s="18" t="s">
        <v>348</v>
      </c>
      <c r="D29" s="18" t="s">
        <v>262</v>
      </c>
      <c r="E29" s="18" t="s">
        <v>349</v>
      </c>
      <c r="F29" s="18" t="s">
        <v>344</v>
      </c>
      <c r="G29" s="23" t="s">
        <v>40</v>
      </c>
      <c r="H29" s="18" t="s">
        <v>57</v>
      </c>
      <c r="I29" s="18" t="s">
        <v>57</v>
      </c>
      <c r="J29" s="18" t="s">
        <v>22</v>
      </c>
      <c r="K29" s="18" t="s">
        <v>48</v>
      </c>
      <c r="L29" s="21" t="s">
        <v>28</v>
      </c>
      <c r="M29" s="18" t="s">
        <v>350</v>
      </c>
      <c r="N29" s="18"/>
    </row>
    <row r="30" spans="1:14">
      <c r="A30" s="18" t="s">
        <v>351</v>
      </c>
      <c r="B30" s="18" t="s">
        <v>281</v>
      </c>
      <c r="C30" s="18" t="s">
        <v>352</v>
      </c>
      <c r="D30" s="18" t="s">
        <v>262</v>
      </c>
      <c r="E30" s="18" t="s">
        <v>353</v>
      </c>
      <c r="F30" s="18" t="s">
        <v>38</v>
      </c>
      <c r="G30" s="19" t="s">
        <v>38</v>
      </c>
      <c r="H30" s="18" t="s">
        <v>54</v>
      </c>
      <c r="I30" s="18" t="s">
        <v>54</v>
      </c>
      <c r="J30" s="18" t="s">
        <v>20</v>
      </c>
      <c r="K30" s="18" t="s">
        <v>47</v>
      </c>
      <c r="L30" s="21" t="s">
        <v>28</v>
      </c>
      <c r="M30" s="18" t="s">
        <v>354</v>
      </c>
      <c r="N30" s="18"/>
    </row>
    <row r="31" spans="1:14" ht="25.5">
      <c r="A31" s="18" t="s">
        <v>355</v>
      </c>
      <c r="B31" s="18" t="s">
        <v>281</v>
      </c>
      <c r="C31" s="18" t="s">
        <v>356</v>
      </c>
      <c r="D31" s="18" t="s">
        <v>262</v>
      </c>
      <c r="E31" s="18" t="s">
        <v>357</v>
      </c>
      <c r="F31" s="18" t="s">
        <v>321</v>
      </c>
      <c r="G31" s="19" t="s">
        <v>38</v>
      </c>
      <c r="H31" s="18" t="s">
        <v>303</v>
      </c>
      <c r="I31" s="18" t="s">
        <v>55</v>
      </c>
      <c r="J31" s="18" t="s">
        <v>20</v>
      </c>
      <c r="K31" s="18" t="s">
        <v>36</v>
      </c>
      <c r="L31" s="21" t="s">
        <v>28</v>
      </c>
      <c r="M31" s="18" t="s">
        <v>358</v>
      </c>
      <c r="N31" s="18"/>
    </row>
    <row r="32" spans="1:14" ht="25.5">
      <c r="A32" s="18" t="s">
        <v>98</v>
      </c>
      <c r="B32" s="18" t="s">
        <v>281</v>
      </c>
      <c r="C32" s="18" t="s">
        <v>359</v>
      </c>
      <c r="D32" s="18" t="s">
        <v>262</v>
      </c>
      <c r="E32" s="18" t="s">
        <v>360</v>
      </c>
      <c r="F32" s="18" t="s">
        <v>361</v>
      </c>
      <c r="G32" s="22" t="s">
        <v>39</v>
      </c>
      <c r="H32" s="18" t="s">
        <v>56</v>
      </c>
      <c r="I32" s="18" t="s">
        <v>56</v>
      </c>
      <c r="J32" s="18" t="s">
        <v>20</v>
      </c>
      <c r="K32" s="18" t="s">
        <v>48</v>
      </c>
      <c r="L32" s="21" t="s">
        <v>28</v>
      </c>
      <c r="M32" s="18" t="s">
        <v>362</v>
      </c>
      <c r="N32" s="18"/>
    </row>
    <row r="33" spans="1:14" ht="38.25">
      <c r="A33" s="18" t="s">
        <v>119</v>
      </c>
      <c r="B33" s="18" t="s">
        <v>281</v>
      </c>
      <c r="C33" s="18" t="s">
        <v>363</v>
      </c>
      <c r="D33" s="18" t="s">
        <v>262</v>
      </c>
      <c r="E33" s="18" t="s">
        <v>364</v>
      </c>
      <c r="F33" s="18" t="s">
        <v>40</v>
      </c>
      <c r="G33" s="23" t="s">
        <v>40</v>
      </c>
      <c r="H33" s="18" t="s">
        <v>316</v>
      </c>
      <c r="I33" s="18" t="s">
        <v>56</v>
      </c>
      <c r="J33" s="18" t="s">
        <v>22</v>
      </c>
      <c r="K33" s="18" t="s">
        <v>365</v>
      </c>
      <c r="L33" s="21" t="s">
        <v>28</v>
      </c>
      <c r="M33" s="18" t="s">
        <v>366</v>
      </c>
      <c r="N33" s="18"/>
    </row>
    <row r="34" spans="1:14" ht="38.25">
      <c r="A34" s="18" t="s">
        <v>123</v>
      </c>
      <c r="B34" s="18" t="s">
        <v>281</v>
      </c>
      <c r="C34" s="18" t="s">
        <v>367</v>
      </c>
      <c r="D34" s="18" t="s">
        <v>262</v>
      </c>
      <c r="E34" s="18" t="s">
        <v>368</v>
      </c>
      <c r="F34" s="18" t="s">
        <v>344</v>
      </c>
      <c r="G34" s="23" t="s">
        <v>40</v>
      </c>
      <c r="H34" s="18" t="s">
        <v>316</v>
      </c>
      <c r="I34" s="18" t="s">
        <v>56</v>
      </c>
      <c r="J34" s="18" t="s">
        <v>22</v>
      </c>
      <c r="K34" s="18" t="s">
        <v>48</v>
      </c>
      <c r="L34" s="21" t="s">
        <v>28</v>
      </c>
      <c r="M34" s="18" t="s">
        <v>369</v>
      </c>
      <c r="N34" s="18"/>
    </row>
    <row r="35" spans="1:14">
      <c r="A35" s="18" t="s">
        <v>370</v>
      </c>
      <c r="B35" s="18" t="s">
        <v>371</v>
      </c>
      <c r="C35" s="18" t="s">
        <v>372</v>
      </c>
      <c r="D35" s="18" t="s">
        <v>373</v>
      </c>
      <c r="E35" s="18" t="s">
        <v>374</v>
      </c>
      <c r="F35" s="18" t="s">
        <v>39</v>
      </c>
      <c r="G35" s="22" t="s">
        <v>39</v>
      </c>
      <c r="H35" s="18" t="s">
        <v>54</v>
      </c>
      <c r="I35" s="18" t="s">
        <v>54</v>
      </c>
      <c r="J35" s="18" t="s">
        <v>20</v>
      </c>
      <c r="K35" s="18" t="s">
        <v>36</v>
      </c>
      <c r="L35" s="21" t="s">
        <v>28</v>
      </c>
      <c r="M35" s="18" t="s">
        <v>375</v>
      </c>
      <c r="N35" s="18"/>
    </row>
    <row r="36" spans="1:14" ht="25.5">
      <c r="A36" s="18" t="s">
        <v>376</v>
      </c>
      <c r="B36" s="18" t="s">
        <v>371</v>
      </c>
      <c r="C36" s="18" t="s">
        <v>377</v>
      </c>
      <c r="D36" s="18" t="s">
        <v>378</v>
      </c>
      <c r="E36" s="18" t="s">
        <v>379</v>
      </c>
      <c r="F36" s="18" t="s">
        <v>380</v>
      </c>
      <c r="G36" s="23" t="s">
        <v>40</v>
      </c>
      <c r="H36" s="18" t="s">
        <v>54</v>
      </c>
      <c r="I36" s="18" t="s">
        <v>54</v>
      </c>
      <c r="J36" s="18" t="s">
        <v>23</v>
      </c>
      <c r="K36" s="18" t="s">
        <v>47</v>
      </c>
      <c r="L36" s="21" t="s">
        <v>28</v>
      </c>
      <c r="M36" s="18" t="s">
        <v>381</v>
      </c>
      <c r="N36" s="18"/>
    </row>
    <row r="37" spans="1:14" ht="25.5">
      <c r="A37" s="18" t="s">
        <v>382</v>
      </c>
      <c r="B37" s="18" t="s">
        <v>371</v>
      </c>
      <c r="C37" s="18" t="s">
        <v>383</v>
      </c>
      <c r="D37" s="18" t="s">
        <v>378</v>
      </c>
      <c r="E37" s="18" t="s">
        <v>384</v>
      </c>
      <c r="F37" s="18" t="s">
        <v>385</v>
      </c>
      <c r="G37" s="22" t="s">
        <v>39</v>
      </c>
      <c r="H37" s="18" t="s">
        <v>54</v>
      </c>
      <c r="I37" s="18" t="s">
        <v>54</v>
      </c>
      <c r="J37" s="18" t="s">
        <v>22</v>
      </c>
      <c r="K37" s="18" t="s">
        <v>47</v>
      </c>
      <c r="L37" s="21" t="s">
        <v>28</v>
      </c>
      <c r="M37" s="18" t="s">
        <v>386</v>
      </c>
      <c r="N37" s="18" t="s">
        <v>387</v>
      </c>
    </row>
    <row r="38" spans="1:14" ht="25.5">
      <c r="A38" s="18" t="s">
        <v>388</v>
      </c>
      <c r="B38" s="18" t="s">
        <v>371</v>
      </c>
      <c r="C38" s="18" t="s">
        <v>389</v>
      </c>
      <c r="D38" s="18" t="s">
        <v>378</v>
      </c>
      <c r="E38" s="18" t="s">
        <v>390</v>
      </c>
      <c r="F38" s="18" t="s">
        <v>38</v>
      </c>
      <c r="G38" s="19" t="s">
        <v>38</v>
      </c>
      <c r="H38" s="18" t="s">
        <v>391</v>
      </c>
      <c r="I38" s="18" t="s">
        <v>54</v>
      </c>
      <c r="J38" s="18" t="s">
        <v>20</v>
      </c>
      <c r="K38" s="18" t="s">
        <v>47</v>
      </c>
      <c r="L38" s="21" t="s">
        <v>28</v>
      </c>
      <c r="M38" s="18" t="s">
        <v>392</v>
      </c>
      <c r="N38" s="18"/>
    </row>
    <row r="39" spans="1:14" ht="38.25">
      <c r="A39" s="18" t="s">
        <v>393</v>
      </c>
      <c r="B39" s="18" t="s">
        <v>371</v>
      </c>
      <c r="C39" s="18" t="s">
        <v>394</v>
      </c>
      <c r="D39" s="18" t="s">
        <v>373</v>
      </c>
      <c r="E39" s="18" t="s">
        <v>395</v>
      </c>
      <c r="F39" s="18" t="s">
        <v>39</v>
      </c>
      <c r="G39" s="22" t="s">
        <v>39</v>
      </c>
      <c r="H39" s="18" t="s">
        <v>55</v>
      </c>
      <c r="I39" s="18" t="s">
        <v>55</v>
      </c>
      <c r="J39" s="18" t="s">
        <v>20</v>
      </c>
      <c r="K39" s="18" t="s">
        <v>47</v>
      </c>
      <c r="L39" s="21" t="s">
        <v>28</v>
      </c>
      <c r="M39" s="18" t="s">
        <v>396</v>
      </c>
      <c r="N39" s="18"/>
    </row>
    <row r="40" spans="1:14" ht="38.25">
      <c r="A40" s="18" t="s">
        <v>397</v>
      </c>
      <c r="B40" s="18" t="s">
        <v>371</v>
      </c>
      <c r="C40" s="18" t="s">
        <v>398</v>
      </c>
      <c r="D40" s="18" t="s">
        <v>399</v>
      </c>
      <c r="E40" s="18" t="s">
        <v>400</v>
      </c>
      <c r="F40" s="18" t="s">
        <v>401</v>
      </c>
      <c r="G40" s="22" t="s">
        <v>39</v>
      </c>
      <c r="H40" s="18" t="s">
        <v>54</v>
      </c>
      <c r="I40" s="18" t="s">
        <v>54</v>
      </c>
      <c r="J40" s="18" t="s">
        <v>20</v>
      </c>
      <c r="K40" s="18" t="s">
        <v>402</v>
      </c>
      <c r="L40" s="21" t="s">
        <v>28</v>
      </c>
      <c r="M40" s="18" t="s">
        <v>403</v>
      </c>
      <c r="N40" s="18" t="s">
        <v>404</v>
      </c>
    </row>
    <row r="41" spans="1:14">
      <c r="A41" s="18" t="s">
        <v>405</v>
      </c>
      <c r="B41" s="18" t="s">
        <v>406</v>
      </c>
      <c r="C41" s="18" t="s">
        <v>407</v>
      </c>
      <c r="D41" s="18" t="s">
        <v>373</v>
      </c>
      <c r="E41" s="18" t="s">
        <v>408</v>
      </c>
      <c r="F41" s="18" t="s">
        <v>39</v>
      </c>
      <c r="G41" s="22" t="s">
        <v>39</v>
      </c>
      <c r="H41" s="18" t="s">
        <v>55</v>
      </c>
      <c r="I41" s="18" t="s">
        <v>55</v>
      </c>
      <c r="J41" s="18" t="s">
        <v>20</v>
      </c>
      <c r="K41" s="18" t="s">
        <v>36</v>
      </c>
      <c r="L41" s="21" t="s">
        <v>28</v>
      </c>
      <c r="M41" s="18" t="s">
        <v>409</v>
      </c>
      <c r="N41" s="18"/>
    </row>
    <row r="42" spans="1:14" ht="25.5">
      <c r="A42" s="18" t="s">
        <v>96</v>
      </c>
      <c r="B42" s="18" t="s">
        <v>406</v>
      </c>
      <c r="C42" s="18" t="s">
        <v>410</v>
      </c>
      <c r="D42" s="18" t="s">
        <v>378</v>
      </c>
      <c r="E42" s="18" t="s">
        <v>411</v>
      </c>
      <c r="F42" s="18" t="s">
        <v>38</v>
      </c>
      <c r="G42" s="19" t="s">
        <v>38</v>
      </c>
      <c r="H42" s="18" t="s">
        <v>55</v>
      </c>
      <c r="I42" s="18" t="s">
        <v>55</v>
      </c>
      <c r="J42" s="18" t="s">
        <v>20</v>
      </c>
      <c r="K42" s="18" t="s">
        <v>47</v>
      </c>
      <c r="L42" s="21" t="s">
        <v>28</v>
      </c>
      <c r="M42" s="18" t="s">
        <v>412</v>
      </c>
      <c r="N42" s="18"/>
    </row>
    <row r="43" spans="1:14" ht="25.5">
      <c r="A43" s="18" t="s">
        <v>413</v>
      </c>
      <c r="B43" s="18" t="s">
        <v>406</v>
      </c>
      <c r="C43" s="18" t="s">
        <v>414</v>
      </c>
      <c r="D43" s="18" t="s">
        <v>378</v>
      </c>
      <c r="E43" s="18" t="s">
        <v>415</v>
      </c>
      <c r="F43" s="18" t="s">
        <v>416</v>
      </c>
      <c r="G43" s="23" t="s">
        <v>40</v>
      </c>
      <c r="H43" s="18" t="s">
        <v>55</v>
      </c>
      <c r="I43" s="18" t="s">
        <v>55</v>
      </c>
      <c r="J43" s="18" t="s">
        <v>22</v>
      </c>
      <c r="K43" s="18" t="s">
        <v>47</v>
      </c>
      <c r="L43" s="21" t="s">
        <v>28</v>
      </c>
      <c r="M43" s="18" t="s">
        <v>417</v>
      </c>
      <c r="N43" s="18"/>
    </row>
    <row r="44" spans="1:14" ht="25.5">
      <c r="A44" s="18" t="s">
        <v>418</v>
      </c>
      <c r="B44" s="18" t="s">
        <v>406</v>
      </c>
      <c r="C44" s="18" t="s">
        <v>419</v>
      </c>
      <c r="D44" s="18" t="s">
        <v>378</v>
      </c>
      <c r="E44" s="18" t="s">
        <v>420</v>
      </c>
      <c r="F44" s="18" t="s">
        <v>302</v>
      </c>
      <c r="G44" s="19" t="s">
        <v>38</v>
      </c>
      <c r="H44" s="18" t="s">
        <v>55</v>
      </c>
      <c r="I44" s="18" t="s">
        <v>55</v>
      </c>
      <c r="J44" s="18" t="s">
        <v>20</v>
      </c>
      <c r="K44" s="18" t="s">
        <v>47</v>
      </c>
      <c r="L44" s="21" t="s">
        <v>28</v>
      </c>
      <c r="M44" s="18" t="s">
        <v>421</v>
      </c>
      <c r="N44" s="18"/>
    </row>
    <row r="45" spans="1:14" ht="25.5">
      <c r="A45" s="18" t="s">
        <v>422</v>
      </c>
      <c r="B45" s="18" t="s">
        <v>406</v>
      </c>
      <c r="C45" s="18" t="s">
        <v>423</v>
      </c>
      <c r="D45" s="18" t="s">
        <v>378</v>
      </c>
      <c r="E45" s="18" t="s">
        <v>424</v>
      </c>
      <c r="F45" s="18" t="s">
        <v>425</v>
      </c>
      <c r="G45" s="23" t="s">
        <v>40</v>
      </c>
      <c r="H45" s="18" t="s">
        <v>55</v>
      </c>
      <c r="I45" s="18" t="s">
        <v>55</v>
      </c>
      <c r="J45" s="18" t="s">
        <v>20</v>
      </c>
      <c r="K45" s="18" t="s">
        <v>36</v>
      </c>
      <c r="L45" s="21" t="s">
        <v>28</v>
      </c>
      <c r="M45" s="18" t="s">
        <v>426</v>
      </c>
      <c r="N45" s="18"/>
    </row>
    <row r="46" spans="1:14" ht="25.5">
      <c r="A46" s="18" t="s">
        <v>427</v>
      </c>
      <c r="B46" s="18" t="s">
        <v>406</v>
      </c>
      <c r="C46" s="18" t="s">
        <v>428</v>
      </c>
      <c r="D46" s="18" t="s">
        <v>378</v>
      </c>
      <c r="E46" s="18" t="s">
        <v>429</v>
      </c>
      <c r="F46" s="18" t="s">
        <v>38</v>
      </c>
      <c r="G46" s="19" t="s">
        <v>38</v>
      </c>
      <c r="H46" s="18" t="s">
        <v>55</v>
      </c>
      <c r="I46" s="18" t="s">
        <v>55</v>
      </c>
      <c r="J46" s="18" t="s">
        <v>20</v>
      </c>
      <c r="K46" s="18" t="s">
        <v>47</v>
      </c>
      <c r="L46" s="21" t="s">
        <v>28</v>
      </c>
      <c r="M46" s="18" t="s">
        <v>430</v>
      </c>
      <c r="N46" s="18"/>
    </row>
    <row r="47" spans="1:14" ht="25.5">
      <c r="A47" s="18" t="s">
        <v>431</v>
      </c>
      <c r="B47" s="18" t="s">
        <v>406</v>
      </c>
      <c r="C47" s="18" t="s">
        <v>432</v>
      </c>
      <c r="D47" s="18" t="s">
        <v>378</v>
      </c>
      <c r="E47" s="18" t="s">
        <v>433</v>
      </c>
      <c r="F47" s="18" t="s">
        <v>434</v>
      </c>
      <c r="G47" s="19" t="s">
        <v>38</v>
      </c>
      <c r="H47" s="18" t="s">
        <v>55</v>
      </c>
      <c r="I47" s="18" t="s">
        <v>55</v>
      </c>
      <c r="J47" s="18" t="s">
        <v>22</v>
      </c>
      <c r="K47" s="18" t="s">
        <v>47</v>
      </c>
      <c r="L47" s="21" t="s">
        <v>28</v>
      </c>
      <c r="M47" s="18" t="s">
        <v>435</v>
      </c>
      <c r="N47" s="18"/>
    </row>
    <row r="48" spans="1:14" ht="51">
      <c r="A48" s="18" t="s">
        <v>436</v>
      </c>
      <c r="B48" s="18" t="s">
        <v>406</v>
      </c>
      <c r="C48" s="18" t="s">
        <v>437</v>
      </c>
      <c r="D48" s="18" t="s">
        <v>438</v>
      </c>
      <c r="E48" s="18" t="s">
        <v>439</v>
      </c>
      <c r="F48" s="18" t="s">
        <v>380</v>
      </c>
      <c r="G48" s="23" t="s">
        <v>40</v>
      </c>
      <c r="H48" s="18" t="s">
        <v>309</v>
      </c>
      <c r="I48" s="18" t="s">
        <v>55</v>
      </c>
      <c r="J48" s="18" t="s">
        <v>22</v>
      </c>
      <c r="K48" s="18" t="s">
        <v>48</v>
      </c>
      <c r="L48" s="21" t="s">
        <v>28</v>
      </c>
      <c r="M48" s="18" t="s">
        <v>440</v>
      </c>
      <c r="N48" s="18" t="s">
        <v>441</v>
      </c>
    </row>
    <row r="49" spans="1:14" ht="25.5">
      <c r="A49" s="18" t="s">
        <v>442</v>
      </c>
      <c r="B49" s="18" t="s">
        <v>406</v>
      </c>
      <c r="C49" s="18" t="s">
        <v>443</v>
      </c>
      <c r="D49" s="18" t="s">
        <v>378</v>
      </c>
      <c r="E49" s="18" t="s">
        <v>444</v>
      </c>
      <c r="F49" s="18" t="s">
        <v>445</v>
      </c>
      <c r="G49" s="23" t="s">
        <v>40</v>
      </c>
      <c r="H49" s="18" t="s">
        <v>55</v>
      </c>
      <c r="I49" s="18" t="s">
        <v>55</v>
      </c>
      <c r="J49" s="18" t="s">
        <v>20</v>
      </c>
      <c r="K49" s="18" t="s">
        <v>48</v>
      </c>
      <c r="L49" s="21" t="s">
        <v>28</v>
      </c>
      <c r="M49" s="18" t="s">
        <v>446</v>
      </c>
      <c r="N49" s="18"/>
    </row>
    <row r="50" spans="1:14" ht="25.5">
      <c r="A50" s="18" t="s">
        <v>447</v>
      </c>
      <c r="B50" s="18" t="s">
        <v>406</v>
      </c>
      <c r="C50" s="18" t="s">
        <v>448</v>
      </c>
      <c r="D50" s="18" t="s">
        <v>378</v>
      </c>
      <c r="E50" s="18" t="s">
        <v>449</v>
      </c>
      <c r="F50" s="18" t="s">
        <v>450</v>
      </c>
      <c r="G50" s="19" t="s">
        <v>38</v>
      </c>
      <c r="H50" s="18" t="s">
        <v>55</v>
      </c>
      <c r="I50" s="18" t="s">
        <v>55</v>
      </c>
      <c r="J50" s="18" t="s">
        <v>20</v>
      </c>
      <c r="K50" s="18" t="s">
        <v>47</v>
      </c>
      <c r="L50" s="21" t="s">
        <v>28</v>
      </c>
      <c r="M50" s="18" t="s">
        <v>451</v>
      </c>
      <c r="N50" s="18"/>
    </row>
    <row r="51" spans="1:14" ht="25.5">
      <c r="A51" s="18" t="s">
        <v>452</v>
      </c>
      <c r="B51" s="18" t="s">
        <v>406</v>
      </c>
      <c r="C51" s="18" t="s">
        <v>453</v>
      </c>
      <c r="D51" s="18" t="s">
        <v>378</v>
      </c>
      <c r="E51" s="18" t="s">
        <v>454</v>
      </c>
      <c r="F51" s="18" t="s">
        <v>267</v>
      </c>
      <c r="G51" s="23" t="s">
        <v>40</v>
      </c>
      <c r="H51" s="18" t="s">
        <v>56</v>
      </c>
      <c r="I51" s="18" t="s">
        <v>56</v>
      </c>
      <c r="J51" s="18" t="s">
        <v>22</v>
      </c>
      <c r="K51" s="18" t="s">
        <v>47</v>
      </c>
      <c r="L51" s="21" t="s">
        <v>28</v>
      </c>
      <c r="M51" s="18" t="s">
        <v>455</v>
      </c>
      <c r="N51" s="18"/>
    </row>
    <row r="52" spans="1:14" ht="25.5">
      <c r="A52" s="18" t="s">
        <v>456</v>
      </c>
      <c r="B52" s="18" t="s">
        <v>406</v>
      </c>
      <c r="C52" s="18" t="s">
        <v>457</v>
      </c>
      <c r="D52" s="18" t="s">
        <v>378</v>
      </c>
      <c r="E52" s="18" t="s">
        <v>458</v>
      </c>
      <c r="F52" s="18" t="s">
        <v>361</v>
      </c>
      <c r="G52" s="22" t="s">
        <v>39</v>
      </c>
      <c r="H52" s="18" t="s">
        <v>56</v>
      </c>
      <c r="I52" s="18" t="s">
        <v>56</v>
      </c>
      <c r="J52" s="18" t="s">
        <v>20</v>
      </c>
      <c r="K52" s="18" t="s">
        <v>36</v>
      </c>
      <c r="L52" s="21" t="s">
        <v>28</v>
      </c>
      <c r="M52" s="18" t="s">
        <v>459</v>
      </c>
      <c r="N52" s="18"/>
    </row>
    <row r="53" spans="1:14" ht="25.5">
      <c r="A53" s="18" t="s">
        <v>460</v>
      </c>
      <c r="B53" s="18" t="s">
        <v>406</v>
      </c>
      <c r="C53" s="18" t="s">
        <v>461</v>
      </c>
      <c r="D53" s="18" t="s">
        <v>462</v>
      </c>
      <c r="E53" s="18" t="s">
        <v>463</v>
      </c>
      <c r="F53" s="18" t="s">
        <v>464</v>
      </c>
      <c r="G53" s="19" t="s">
        <v>38</v>
      </c>
      <c r="H53" s="18" t="s">
        <v>56</v>
      </c>
      <c r="I53" s="18" t="s">
        <v>56</v>
      </c>
      <c r="J53" s="18" t="s">
        <v>20</v>
      </c>
      <c r="K53" s="18" t="s">
        <v>48</v>
      </c>
      <c r="L53" s="21" t="s">
        <v>28</v>
      </c>
      <c r="M53" s="18" t="s">
        <v>465</v>
      </c>
      <c r="N53" s="18"/>
    </row>
    <row r="54" spans="1:14" ht="51">
      <c r="A54" s="18" t="s">
        <v>141</v>
      </c>
      <c r="B54" s="18" t="s">
        <v>466</v>
      </c>
      <c r="C54" s="18" t="s">
        <v>467</v>
      </c>
      <c r="D54" s="18" t="s">
        <v>468</v>
      </c>
      <c r="E54" s="18" t="s">
        <v>469</v>
      </c>
      <c r="F54" s="18" t="s">
        <v>464</v>
      </c>
      <c r="G54" s="19" t="s">
        <v>38</v>
      </c>
      <c r="H54" s="18" t="s">
        <v>56</v>
      </c>
      <c r="I54" s="18" t="s">
        <v>56</v>
      </c>
      <c r="J54" s="18" t="s">
        <v>20</v>
      </c>
      <c r="K54" s="18" t="s">
        <v>36</v>
      </c>
      <c r="L54" s="21" t="s">
        <v>28</v>
      </c>
      <c r="M54" s="18" t="s">
        <v>470</v>
      </c>
      <c r="N54" s="18"/>
    </row>
    <row r="55" spans="1:14" ht="25.5">
      <c r="A55" s="18" t="s">
        <v>471</v>
      </c>
      <c r="B55" s="18" t="s">
        <v>472</v>
      </c>
      <c r="C55" s="18" t="s">
        <v>473</v>
      </c>
      <c r="D55" s="18" t="s">
        <v>474</v>
      </c>
      <c r="E55" s="18" t="s">
        <v>475</v>
      </c>
      <c r="F55" s="18" t="s">
        <v>464</v>
      </c>
      <c r="G55" s="19" t="s">
        <v>38</v>
      </c>
      <c r="H55" s="18" t="s">
        <v>303</v>
      </c>
      <c r="I55" s="18" t="s">
        <v>55</v>
      </c>
      <c r="J55" s="18" t="s">
        <v>20</v>
      </c>
      <c r="K55" s="18" t="s">
        <v>36</v>
      </c>
      <c r="L55" s="21" t="s">
        <v>28</v>
      </c>
      <c r="M55" s="18" t="s">
        <v>476</v>
      </c>
      <c r="N55" s="18"/>
    </row>
    <row r="56" spans="1:14" ht="25.5">
      <c r="A56" s="18" t="s">
        <v>84</v>
      </c>
      <c r="B56" s="18" t="s">
        <v>477</v>
      </c>
      <c r="C56" s="18" t="s">
        <v>478</v>
      </c>
      <c r="D56" s="18" t="s">
        <v>479</v>
      </c>
      <c r="E56" s="18" t="s">
        <v>480</v>
      </c>
      <c r="F56" s="18" t="s">
        <v>38</v>
      </c>
      <c r="G56" s="19" t="s">
        <v>38</v>
      </c>
      <c r="H56" s="18" t="s">
        <v>57</v>
      </c>
      <c r="I56" s="18" t="s">
        <v>57</v>
      </c>
      <c r="J56" s="18" t="s">
        <v>20</v>
      </c>
      <c r="K56" s="18" t="s">
        <v>47</v>
      </c>
      <c r="L56" s="21" t="s">
        <v>28</v>
      </c>
      <c r="M56" s="18" t="s">
        <v>481</v>
      </c>
      <c r="N56" s="18"/>
    </row>
    <row r="57" spans="1:14" ht="25.5">
      <c r="A57" s="18" t="s">
        <v>482</v>
      </c>
      <c r="B57" s="18" t="s">
        <v>477</v>
      </c>
      <c r="C57" s="18" t="s">
        <v>483</v>
      </c>
      <c r="D57" s="18" t="s">
        <v>484</v>
      </c>
      <c r="E57" s="18" t="s">
        <v>485</v>
      </c>
      <c r="F57" s="18" t="s">
        <v>38</v>
      </c>
      <c r="G57" s="19" t="s">
        <v>38</v>
      </c>
      <c r="H57" s="18" t="s">
        <v>57</v>
      </c>
      <c r="I57" s="18" t="s">
        <v>57</v>
      </c>
      <c r="J57" s="18" t="s">
        <v>20</v>
      </c>
      <c r="K57" s="18" t="s">
        <v>47</v>
      </c>
      <c r="L57" s="21" t="s">
        <v>28</v>
      </c>
      <c r="M57" s="18" t="s">
        <v>486</v>
      </c>
      <c r="N57" s="18" t="s">
        <v>487</v>
      </c>
    </row>
    <row r="58" spans="1:14" ht="25.5">
      <c r="A58" s="18" t="s">
        <v>488</v>
      </c>
      <c r="B58" s="18" t="s">
        <v>477</v>
      </c>
      <c r="C58" s="18" t="s">
        <v>489</v>
      </c>
      <c r="D58" s="18" t="s">
        <v>479</v>
      </c>
      <c r="E58" s="18" t="s">
        <v>490</v>
      </c>
      <c r="F58" s="18" t="s">
        <v>38</v>
      </c>
      <c r="G58" s="19" t="s">
        <v>38</v>
      </c>
      <c r="H58" s="18" t="s">
        <v>57</v>
      </c>
      <c r="I58" s="18" t="s">
        <v>57</v>
      </c>
      <c r="J58" s="18" t="s">
        <v>20</v>
      </c>
      <c r="K58" s="18" t="s">
        <v>47</v>
      </c>
      <c r="L58" s="21" t="s">
        <v>28</v>
      </c>
      <c r="M58" s="18" t="s">
        <v>491</v>
      </c>
      <c r="N58" s="18"/>
    </row>
    <row r="59" spans="1:14" ht="25.5">
      <c r="A59" s="18" t="s">
        <v>492</v>
      </c>
      <c r="B59" s="18" t="s">
        <v>477</v>
      </c>
      <c r="C59" s="18" t="s">
        <v>493</v>
      </c>
      <c r="D59" s="18" t="s">
        <v>479</v>
      </c>
      <c r="E59" s="18" t="s">
        <v>494</v>
      </c>
      <c r="F59" s="18" t="s">
        <v>38</v>
      </c>
      <c r="G59" s="19" t="s">
        <v>38</v>
      </c>
      <c r="H59" s="18" t="s">
        <v>57</v>
      </c>
      <c r="I59" s="18" t="s">
        <v>57</v>
      </c>
      <c r="J59" s="18" t="s">
        <v>20</v>
      </c>
      <c r="K59" s="18" t="s">
        <v>47</v>
      </c>
      <c r="L59" s="21" t="s">
        <v>28</v>
      </c>
      <c r="M59" s="18" t="s">
        <v>495</v>
      </c>
      <c r="N59" s="18"/>
    </row>
    <row r="60" spans="1:14" ht="38.25">
      <c r="A60" s="18" t="s">
        <v>144</v>
      </c>
      <c r="B60" s="18" t="s">
        <v>477</v>
      </c>
      <c r="C60" s="18" t="s">
        <v>496</v>
      </c>
      <c r="D60" s="18" t="s">
        <v>484</v>
      </c>
      <c r="E60" s="18" t="s">
        <v>497</v>
      </c>
      <c r="F60" s="18" t="s">
        <v>498</v>
      </c>
      <c r="G60" s="23" t="s">
        <v>40</v>
      </c>
      <c r="H60" s="18" t="s">
        <v>57</v>
      </c>
      <c r="I60" s="18" t="s">
        <v>57</v>
      </c>
      <c r="J60" s="18" t="s">
        <v>20</v>
      </c>
      <c r="K60" s="18" t="s">
        <v>48</v>
      </c>
      <c r="L60" s="21" t="s">
        <v>28</v>
      </c>
      <c r="M60" s="18" t="s">
        <v>499</v>
      </c>
      <c r="N60" s="18" t="s">
        <v>500</v>
      </c>
    </row>
    <row r="61" spans="1:14" ht="38.25">
      <c r="A61" s="18" t="s">
        <v>501</v>
      </c>
      <c r="B61" s="18" t="s">
        <v>477</v>
      </c>
      <c r="C61" s="18" t="s">
        <v>502</v>
      </c>
      <c r="D61" s="18" t="s">
        <v>479</v>
      </c>
      <c r="E61" s="18" t="s">
        <v>503</v>
      </c>
      <c r="F61" s="18" t="s">
        <v>38</v>
      </c>
      <c r="G61" s="19" t="s">
        <v>38</v>
      </c>
      <c r="H61" s="18" t="s">
        <v>57</v>
      </c>
      <c r="I61" s="18" t="s">
        <v>57</v>
      </c>
      <c r="J61" s="18" t="s">
        <v>20</v>
      </c>
      <c r="K61" s="18" t="s">
        <v>47</v>
      </c>
      <c r="L61" s="21" t="s">
        <v>28</v>
      </c>
      <c r="M61" s="18" t="s">
        <v>504</v>
      </c>
      <c r="N61" s="18"/>
    </row>
    <row r="62" spans="1:14" ht="25.5">
      <c r="A62" s="18" t="s">
        <v>505</v>
      </c>
      <c r="B62" s="18" t="s">
        <v>477</v>
      </c>
      <c r="C62" s="18" t="s">
        <v>506</v>
      </c>
      <c r="D62" s="18" t="s">
        <v>479</v>
      </c>
      <c r="E62" s="18" t="s">
        <v>507</v>
      </c>
      <c r="F62" s="18" t="s">
        <v>39</v>
      </c>
      <c r="G62" s="22" t="s">
        <v>39</v>
      </c>
      <c r="H62" s="18" t="s">
        <v>57</v>
      </c>
      <c r="I62" s="18" t="s">
        <v>57</v>
      </c>
      <c r="J62" s="18" t="s">
        <v>20</v>
      </c>
      <c r="K62" s="18" t="s">
        <v>47</v>
      </c>
      <c r="L62" s="21" t="s">
        <v>28</v>
      </c>
      <c r="M62" s="18" t="s">
        <v>508</v>
      </c>
      <c r="N62" s="18"/>
    </row>
    <row r="63" spans="1:14">
      <c r="A63" s="18" t="s">
        <v>509</v>
      </c>
      <c r="B63" s="18" t="s">
        <v>477</v>
      </c>
      <c r="C63" s="18" t="s">
        <v>510</v>
      </c>
      <c r="D63" s="18" t="s">
        <v>479</v>
      </c>
      <c r="E63" s="18" t="s">
        <v>511</v>
      </c>
      <c r="F63" s="18" t="s">
        <v>38</v>
      </c>
      <c r="G63" s="19" t="s">
        <v>38</v>
      </c>
      <c r="H63" s="18" t="s">
        <v>57</v>
      </c>
      <c r="I63" s="18" t="s">
        <v>57</v>
      </c>
      <c r="J63" s="18" t="s">
        <v>20</v>
      </c>
      <c r="K63" s="18" t="s">
        <v>47</v>
      </c>
      <c r="L63" s="21" t="s">
        <v>28</v>
      </c>
      <c r="M63" s="18" t="s">
        <v>512</v>
      </c>
      <c r="N63" s="18"/>
    </row>
    <row r="64" spans="1:14" ht="38.25">
      <c r="A64" s="18" t="s">
        <v>513</v>
      </c>
      <c r="B64" s="18" t="s">
        <v>477</v>
      </c>
      <c r="C64" s="18" t="s">
        <v>514</v>
      </c>
      <c r="D64" s="18" t="s">
        <v>479</v>
      </c>
      <c r="E64" s="18" t="s">
        <v>515</v>
      </c>
      <c r="F64" s="18" t="s">
        <v>38</v>
      </c>
      <c r="G64" s="19" t="s">
        <v>38</v>
      </c>
      <c r="H64" s="18" t="s">
        <v>57</v>
      </c>
      <c r="I64" s="18" t="s">
        <v>57</v>
      </c>
      <c r="J64" s="18" t="s">
        <v>20</v>
      </c>
      <c r="K64" s="18" t="s">
        <v>48</v>
      </c>
      <c r="L64" s="21" t="s">
        <v>28</v>
      </c>
      <c r="M64" s="18" t="s">
        <v>516</v>
      </c>
      <c r="N64" s="18"/>
    </row>
    <row r="65" spans="1:14" ht="25.5">
      <c r="A65" s="18" t="s">
        <v>517</v>
      </c>
      <c r="B65" s="18" t="s">
        <v>477</v>
      </c>
      <c r="C65" s="18" t="s">
        <v>518</v>
      </c>
      <c r="D65" s="18" t="s">
        <v>479</v>
      </c>
      <c r="E65" s="18" t="s">
        <v>519</v>
      </c>
      <c r="F65" s="18" t="s">
        <v>38</v>
      </c>
      <c r="G65" s="19" t="s">
        <v>38</v>
      </c>
      <c r="H65" s="18" t="s">
        <v>520</v>
      </c>
      <c r="I65" s="18" t="s">
        <v>57</v>
      </c>
      <c r="J65" s="18" t="s">
        <v>20</v>
      </c>
      <c r="K65" s="18" t="s">
        <v>47</v>
      </c>
      <c r="L65" s="21" t="s">
        <v>28</v>
      </c>
      <c r="M65" s="18" t="s">
        <v>521</v>
      </c>
      <c r="N65" s="18"/>
    </row>
    <row r="66" spans="1:14" ht="25.5">
      <c r="A66" s="18" t="s">
        <v>522</v>
      </c>
      <c r="B66" s="18" t="s">
        <v>477</v>
      </c>
      <c r="C66" s="18" t="s">
        <v>523</v>
      </c>
      <c r="D66" s="18" t="s">
        <v>484</v>
      </c>
      <c r="E66" s="18" t="s">
        <v>524</v>
      </c>
      <c r="F66" s="18" t="s">
        <v>38</v>
      </c>
      <c r="G66" s="19" t="s">
        <v>38</v>
      </c>
      <c r="H66" s="18" t="s">
        <v>57</v>
      </c>
      <c r="I66" s="18" t="s">
        <v>57</v>
      </c>
      <c r="J66" s="18" t="s">
        <v>20</v>
      </c>
      <c r="K66" s="18" t="s">
        <v>47</v>
      </c>
      <c r="L66" s="21" t="s">
        <v>28</v>
      </c>
      <c r="M66" s="18" t="s">
        <v>525</v>
      </c>
      <c r="N66" s="18"/>
    </row>
    <row r="67" spans="1:14" ht="25.5">
      <c r="A67" s="18" t="s">
        <v>526</v>
      </c>
      <c r="B67" s="18" t="s">
        <v>477</v>
      </c>
      <c r="C67" s="18" t="s">
        <v>527</v>
      </c>
      <c r="D67" s="18" t="s">
        <v>484</v>
      </c>
      <c r="E67" s="18" t="s">
        <v>528</v>
      </c>
      <c r="F67" s="18" t="s">
        <v>38</v>
      </c>
      <c r="G67" s="19" t="s">
        <v>38</v>
      </c>
      <c r="H67" s="18" t="s">
        <v>57</v>
      </c>
      <c r="I67" s="18" t="s">
        <v>57</v>
      </c>
      <c r="J67" s="18" t="s">
        <v>20</v>
      </c>
      <c r="K67" s="18" t="s">
        <v>47</v>
      </c>
      <c r="L67" s="21" t="s">
        <v>28</v>
      </c>
      <c r="M67" s="18" t="s">
        <v>529</v>
      </c>
      <c r="N67" s="18"/>
    </row>
    <row r="68" spans="1:14" ht="25.5">
      <c r="A68" s="18" t="s">
        <v>530</v>
      </c>
      <c r="B68" s="18" t="s">
        <v>477</v>
      </c>
      <c r="C68" s="18" t="s">
        <v>531</v>
      </c>
      <c r="D68" s="18" t="s">
        <v>479</v>
      </c>
      <c r="E68" s="18" t="s">
        <v>532</v>
      </c>
      <c r="F68" s="18" t="s">
        <v>445</v>
      </c>
      <c r="G68" s="23" t="s">
        <v>40</v>
      </c>
      <c r="H68" s="18" t="s">
        <v>57</v>
      </c>
      <c r="I68" s="18" t="s">
        <v>57</v>
      </c>
      <c r="J68" s="18" t="s">
        <v>22</v>
      </c>
      <c r="K68" s="18" t="s">
        <v>36</v>
      </c>
      <c r="L68" s="21" t="s">
        <v>28</v>
      </c>
      <c r="M68" s="18" t="s">
        <v>533</v>
      </c>
      <c r="N68" s="18"/>
    </row>
    <row r="69" spans="1:14" ht="102">
      <c r="A69" s="18" t="s">
        <v>534</v>
      </c>
      <c r="B69" s="18" t="s">
        <v>477</v>
      </c>
      <c r="C69" s="18" t="s">
        <v>535</v>
      </c>
      <c r="D69" s="18" t="s">
        <v>479</v>
      </c>
      <c r="E69" s="18" t="s">
        <v>536</v>
      </c>
      <c r="F69" s="18" t="s">
        <v>38</v>
      </c>
      <c r="G69" s="19" t="s">
        <v>38</v>
      </c>
      <c r="H69" s="18" t="s">
        <v>57</v>
      </c>
      <c r="I69" s="18" t="s">
        <v>57</v>
      </c>
      <c r="J69" s="18" t="s">
        <v>20</v>
      </c>
      <c r="K69" s="18" t="s">
        <v>47</v>
      </c>
      <c r="L69" s="21" t="s">
        <v>28</v>
      </c>
      <c r="M69" s="18" t="s">
        <v>537</v>
      </c>
      <c r="N69" s="18" t="s">
        <v>538</v>
      </c>
    </row>
    <row r="70" spans="1:14" ht="25.5">
      <c r="A70" s="18" t="s">
        <v>539</v>
      </c>
      <c r="B70" s="18" t="s">
        <v>540</v>
      </c>
      <c r="C70" s="18" t="s">
        <v>541</v>
      </c>
      <c r="D70" s="18" t="s">
        <v>399</v>
      </c>
      <c r="E70" s="18" t="s">
        <v>542</v>
      </c>
      <c r="F70" s="18" t="s">
        <v>38</v>
      </c>
      <c r="G70" s="19" t="s">
        <v>38</v>
      </c>
      <c r="H70" s="18" t="s">
        <v>58</v>
      </c>
      <c r="I70" s="18" t="s">
        <v>58</v>
      </c>
      <c r="J70" s="18" t="s">
        <v>22</v>
      </c>
      <c r="K70" s="18" t="s">
        <v>47</v>
      </c>
      <c r="L70" s="21" t="s">
        <v>28</v>
      </c>
      <c r="M70" s="18" t="s">
        <v>543</v>
      </c>
      <c r="N70" s="18"/>
    </row>
    <row r="71" spans="1:14" ht="89.25">
      <c r="A71" s="18" t="s">
        <v>172</v>
      </c>
      <c r="B71" s="18" t="s">
        <v>540</v>
      </c>
      <c r="C71" s="18" t="s">
        <v>544</v>
      </c>
      <c r="D71" s="18" t="s">
        <v>399</v>
      </c>
      <c r="E71" s="18" t="s">
        <v>545</v>
      </c>
      <c r="F71" s="18" t="s">
        <v>43</v>
      </c>
      <c r="G71" s="29" t="s">
        <v>43</v>
      </c>
      <c r="H71" s="18" t="s">
        <v>53</v>
      </c>
      <c r="I71" s="18" t="s">
        <v>53</v>
      </c>
      <c r="J71" s="18" t="s">
        <v>546</v>
      </c>
      <c r="K71" s="18" t="s">
        <v>48</v>
      </c>
      <c r="L71" s="21" t="s">
        <v>28</v>
      </c>
      <c r="M71" s="18" t="s">
        <v>547</v>
      </c>
      <c r="N71" s="18" t="s">
        <v>548</v>
      </c>
    </row>
    <row r="72" spans="1:14" ht="102">
      <c r="A72" s="18" t="s">
        <v>169</v>
      </c>
      <c r="B72" s="18" t="s">
        <v>540</v>
      </c>
      <c r="C72" s="18" t="s">
        <v>549</v>
      </c>
      <c r="D72" s="18" t="s">
        <v>399</v>
      </c>
      <c r="E72" s="18" t="s">
        <v>550</v>
      </c>
      <c r="F72" s="18" t="s">
        <v>41</v>
      </c>
      <c r="G72" s="30" t="s">
        <v>41</v>
      </c>
      <c r="H72" s="18" t="s">
        <v>58</v>
      </c>
      <c r="I72" s="18" t="s">
        <v>58</v>
      </c>
      <c r="J72" s="18" t="s">
        <v>22</v>
      </c>
      <c r="K72" s="18" t="s">
        <v>48</v>
      </c>
      <c r="L72" s="21" t="s">
        <v>28</v>
      </c>
      <c r="M72" s="18" t="s">
        <v>551</v>
      </c>
      <c r="N72" s="18" t="s">
        <v>552</v>
      </c>
    </row>
    <row r="73" spans="1:14" ht="25.5">
      <c r="A73" s="18" t="s">
        <v>553</v>
      </c>
      <c r="B73" s="18" t="s">
        <v>540</v>
      </c>
      <c r="C73" s="18" t="s">
        <v>554</v>
      </c>
      <c r="D73" s="18" t="s">
        <v>399</v>
      </c>
      <c r="E73" s="18" t="s">
        <v>555</v>
      </c>
      <c r="F73" s="18" t="s">
        <v>38</v>
      </c>
      <c r="G73" s="19" t="s">
        <v>38</v>
      </c>
      <c r="H73" s="18" t="s">
        <v>54</v>
      </c>
      <c r="I73" s="18" t="s">
        <v>54</v>
      </c>
      <c r="J73" s="18" t="s">
        <v>20</v>
      </c>
      <c r="K73" s="18" t="s">
        <v>47</v>
      </c>
      <c r="L73" s="21" t="s">
        <v>28</v>
      </c>
      <c r="M73" s="18" t="s">
        <v>556</v>
      </c>
      <c r="N73" s="18"/>
    </row>
    <row r="74" spans="1:14" ht="63.75">
      <c r="A74" s="18" t="s">
        <v>557</v>
      </c>
      <c r="B74" s="18" t="s">
        <v>558</v>
      </c>
      <c r="C74" s="18" t="s">
        <v>559</v>
      </c>
      <c r="D74" s="18" t="s">
        <v>560</v>
      </c>
      <c r="E74" s="18" t="s">
        <v>561</v>
      </c>
      <c r="F74" s="18" t="s">
        <v>39</v>
      </c>
      <c r="G74" s="22" t="s">
        <v>39</v>
      </c>
      <c r="H74" s="18" t="s">
        <v>562</v>
      </c>
      <c r="I74" s="18" t="s">
        <v>53</v>
      </c>
      <c r="J74" s="18" t="s">
        <v>20</v>
      </c>
      <c r="K74" s="18" t="s">
        <v>48</v>
      </c>
      <c r="L74" s="21" t="s">
        <v>28</v>
      </c>
      <c r="M74" s="18" t="s">
        <v>563</v>
      </c>
      <c r="N74" s="18"/>
    </row>
    <row r="75" spans="1:14" ht="25.5">
      <c r="A75" s="18" t="s">
        <v>564</v>
      </c>
      <c r="B75" s="18" t="s">
        <v>558</v>
      </c>
      <c r="C75" s="18" t="s">
        <v>565</v>
      </c>
      <c r="D75" s="18" t="s">
        <v>560</v>
      </c>
      <c r="E75" s="18" t="s">
        <v>566</v>
      </c>
      <c r="F75" s="18" t="s">
        <v>38</v>
      </c>
      <c r="G75" s="19" t="s">
        <v>38</v>
      </c>
      <c r="H75" s="18" t="s">
        <v>53</v>
      </c>
      <c r="I75" s="18" t="s">
        <v>53</v>
      </c>
      <c r="J75" s="18" t="s">
        <v>20</v>
      </c>
      <c r="K75" s="18" t="s">
        <v>567</v>
      </c>
      <c r="L75" s="21" t="s">
        <v>28</v>
      </c>
      <c r="M75" s="18" t="s">
        <v>568</v>
      </c>
      <c r="N75" s="18"/>
    </row>
    <row r="76" spans="1:14" ht="38.25">
      <c r="A76" s="18" t="s">
        <v>569</v>
      </c>
      <c r="B76" s="18" t="s">
        <v>570</v>
      </c>
      <c r="C76" s="18" t="s">
        <v>571</v>
      </c>
      <c r="D76" s="18" t="s">
        <v>560</v>
      </c>
      <c r="E76" s="18" t="s">
        <v>572</v>
      </c>
      <c r="F76" s="18" t="s">
        <v>39</v>
      </c>
      <c r="G76" s="22" t="s">
        <v>39</v>
      </c>
      <c r="H76" s="18" t="s">
        <v>573</v>
      </c>
      <c r="I76" s="18" t="s">
        <v>54</v>
      </c>
      <c r="J76" s="18" t="s">
        <v>20</v>
      </c>
      <c r="K76" s="18" t="s">
        <v>48</v>
      </c>
      <c r="L76" s="21" t="s">
        <v>28</v>
      </c>
      <c r="M76" s="18" t="s">
        <v>574</v>
      </c>
      <c r="N76" s="18"/>
    </row>
    <row r="77" spans="1:14" ht="63.75">
      <c r="A77" s="18" t="s">
        <v>575</v>
      </c>
      <c r="B77" s="18" t="s">
        <v>570</v>
      </c>
      <c r="C77" s="18" t="s">
        <v>576</v>
      </c>
      <c r="D77" s="18" t="s">
        <v>560</v>
      </c>
      <c r="E77" s="18" t="s">
        <v>577</v>
      </c>
      <c r="F77" s="18" t="s">
        <v>38</v>
      </c>
      <c r="G77" s="19" t="s">
        <v>38</v>
      </c>
      <c r="H77" s="18" t="s">
        <v>578</v>
      </c>
      <c r="I77" s="18" t="s">
        <v>578</v>
      </c>
      <c r="J77" s="18" t="s">
        <v>20</v>
      </c>
      <c r="K77" s="18" t="s">
        <v>47</v>
      </c>
      <c r="L77" s="21" t="s">
        <v>28</v>
      </c>
      <c r="M77" s="18" t="s">
        <v>579</v>
      </c>
      <c r="N77" s="18"/>
    </row>
    <row r="78" spans="1:14" ht="63.75">
      <c r="A78" s="18" t="s">
        <v>151</v>
      </c>
      <c r="B78" s="18" t="s">
        <v>570</v>
      </c>
      <c r="C78" s="18" t="s">
        <v>580</v>
      </c>
      <c r="D78" s="18" t="s">
        <v>560</v>
      </c>
      <c r="E78" s="18" t="s">
        <v>581</v>
      </c>
      <c r="F78" s="18" t="s">
        <v>582</v>
      </c>
      <c r="G78" s="22" t="s">
        <v>39</v>
      </c>
      <c r="H78" s="18" t="s">
        <v>583</v>
      </c>
      <c r="I78" s="18" t="s">
        <v>55</v>
      </c>
      <c r="J78" s="18" t="s">
        <v>22</v>
      </c>
      <c r="K78" s="18" t="s">
        <v>48</v>
      </c>
      <c r="L78" s="21" t="s">
        <v>28</v>
      </c>
      <c r="M78" s="18" t="s">
        <v>584</v>
      </c>
      <c r="N78" s="18" t="s">
        <v>585</v>
      </c>
    </row>
    <row r="79" spans="1:14" ht="51">
      <c r="A79" s="18" t="s">
        <v>154</v>
      </c>
      <c r="B79" s="18" t="s">
        <v>586</v>
      </c>
      <c r="C79" s="18" t="s">
        <v>587</v>
      </c>
      <c r="D79" s="18" t="s">
        <v>588</v>
      </c>
      <c r="E79" s="18" t="s">
        <v>589</v>
      </c>
      <c r="F79" s="18" t="s">
        <v>590</v>
      </c>
      <c r="G79" s="22" t="s">
        <v>39</v>
      </c>
      <c r="H79" s="18" t="s">
        <v>562</v>
      </c>
      <c r="I79" s="18" t="s">
        <v>53</v>
      </c>
      <c r="J79" s="18" t="s">
        <v>20</v>
      </c>
      <c r="K79" s="18" t="s">
        <v>48</v>
      </c>
      <c r="L79" s="21" t="s">
        <v>28</v>
      </c>
      <c r="M79" s="18" t="s">
        <v>591</v>
      </c>
      <c r="N79" s="18" t="s">
        <v>592</v>
      </c>
    </row>
    <row r="80" spans="1:14" ht="89.25">
      <c r="A80" s="18" t="s">
        <v>179</v>
      </c>
      <c r="B80" s="18" t="s">
        <v>593</v>
      </c>
      <c r="C80" s="18" t="s">
        <v>594</v>
      </c>
      <c r="D80" s="18" t="s">
        <v>595</v>
      </c>
      <c r="E80" s="18" t="s">
        <v>596</v>
      </c>
      <c r="F80" s="18" t="s">
        <v>597</v>
      </c>
      <c r="G80" s="25" t="s">
        <v>42</v>
      </c>
      <c r="H80" s="18" t="s">
        <v>53</v>
      </c>
      <c r="I80" s="18" t="s">
        <v>53</v>
      </c>
      <c r="J80" s="18" t="s">
        <v>546</v>
      </c>
      <c r="K80" s="18" t="s">
        <v>48</v>
      </c>
      <c r="L80" s="21" t="s">
        <v>28</v>
      </c>
      <c r="M80" s="18" t="s">
        <v>598</v>
      </c>
      <c r="N80" s="18" t="s">
        <v>599</v>
      </c>
    </row>
    <row r="81" spans="1:14" ht="38.25">
      <c r="A81" s="18" t="s">
        <v>110</v>
      </c>
      <c r="B81" s="18" t="s">
        <v>600</v>
      </c>
      <c r="C81" s="18" t="s">
        <v>601</v>
      </c>
      <c r="D81" s="18" t="s">
        <v>602</v>
      </c>
      <c r="E81" s="18" t="s">
        <v>603</v>
      </c>
      <c r="F81" s="18" t="s">
        <v>604</v>
      </c>
      <c r="G81" s="22" t="s">
        <v>39</v>
      </c>
      <c r="H81" s="18" t="s">
        <v>57</v>
      </c>
      <c r="I81" s="18" t="s">
        <v>57</v>
      </c>
      <c r="J81" s="18" t="s">
        <v>20</v>
      </c>
      <c r="K81" s="18" t="s">
        <v>48</v>
      </c>
      <c r="L81" s="21" t="s">
        <v>28</v>
      </c>
      <c r="M81" s="18" t="s">
        <v>605</v>
      </c>
      <c r="N81" s="18"/>
    </row>
    <row r="82" spans="1:14" ht="51">
      <c r="A82" s="18" t="s">
        <v>606</v>
      </c>
      <c r="B82" s="18" t="s">
        <v>600</v>
      </c>
      <c r="C82" s="18" t="s">
        <v>607</v>
      </c>
      <c r="D82" s="18" t="s">
        <v>602</v>
      </c>
      <c r="E82" s="18" t="s">
        <v>608</v>
      </c>
      <c r="F82" s="18" t="s">
        <v>39</v>
      </c>
      <c r="G82" s="22" t="s">
        <v>39</v>
      </c>
      <c r="H82" s="18" t="s">
        <v>57</v>
      </c>
      <c r="I82" s="18" t="s">
        <v>57</v>
      </c>
      <c r="J82" s="18" t="s">
        <v>20</v>
      </c>
      <c r="K82" s="18" t="s">
        <v>36</v>
      </c>
      <c r="L82" s="21" t="s">
        <v>28</v>
      </c>
      <c r="M82" s="18" t="s">
        <v>609</v>
      </c>
      <c r="N82" s="18"/>
    </row>
    <row r="83" spans="1:14" ht="38.25">
      <c r="A83" s="18" t="s">
        <v>116</v>
      </c>
      <c r="B83" s="18" t="s">
        <v>600</v>
      </c>
      <c r="C83" s="18" t="s">
        <v>610</v>
      </c>
      <c r="D83" s="18" t="s">
        <v>602</v>
      </c>
      <c r="E83" s="18" t="s">
        <v>611</v>
      </c>
      <c r="F83" s="18" t="s">
        <v>612</v>
      </c>
      <c r="G83" s="23" t="s">
        <v>40</v>
      </c>
      <c r="H83" s="18" t="s">
        <v>613</v>
      </c>
      <c r="I83" s="18" t="s">
        <v>55</v>
      </c>
      <c r="J83" s="18" t="s">
        <v>22</v>
      </c>
      <c r="K83" s="18" t="s">
        <v>48</v>
      </c>
      <c r="L83" s="21" t="s">
        <v>28</v>
      </c>
      <c r="M83" s="18" t="s">
        <v>614</v>
      </c>
      <c r="N83" s="18"/>
    </row>
    <row r="84" spans="1:14" ht="76.5">
      <c r="A84" s="18" t="s">
        <v>158</v>
      </c>
      <c r="B84" s="18" t="s">
        <v>600</v>
      </c>
      <c r="C84" s="18" t="s">
        <v>615</v>
      </c>
      <c r="D84" s="18" t="s">
        <v>602</v>
      </c>
      <c r="E84" s="18" t="s">
        <v>616</v>
      </c>
      <c r="F84" s="18" t="s">
        <v>617</v>
      </c>
      <c r="G84" s="19" t="s">
        <v>38</v>
      </c>
      <c r="H84" s="18" t="s">
        <v>618</v>
      </c>
      <c r="I84" s="18" t="s">
        <v>58</v>
      </c>
      <c r="J84" s="18" t="s">
        <v>20</v>
      </c>
      <c r="K84" s="18" t="s">
        <v>48</v>
      </c>
      <c r="L84" s="21" t="s">
        <v>28</v>
      </c>
      <c r="M84" s="18" t="s">
        <v>619</v>
      </c>
      <c r="N84" s="18"/>
    </row>
    <row r="85" spans="1:14" ht="63.75">
      <c r="A85" s="18" t="s">
        <v>620</v>
      </c>
      <c r="B85" s="18" t="s">
        <v>621</v>
      </c>
      <c r="C85" s="18" t="s">
        <v>622</v>
      </c>
      <c r="D85" s="18" t="s">
        <v>623</v>
      </c>
      <c r="E85" s="18" t="s">
        <v>624</v>
      </c>
      <c r="F85" s="18" t="s">
        <v>464</v>
      </c>
      <c r="G85" s="19" t="s">
        <v>38</v>
      </c>
      <c r="H85" s="18" t="s">
        <v>57</v>
      </c>
      <c r="I85" s="18" t="s">
        <v>57</v>
      </c>
      <c r="J85" s="18" t="s">
        <v>20</v>
      </c>
      <c r="K85" s="18" t="s">
        <v>47</v>
      </c>
      <c r="L85" s="21" t="s">
        <v>28</v>
      </c>
      <c r="M85" s="18" t="s">
        <v>625</v>
      </c>
      <c r="N85" s="18"/>
    </row>
    <row r="86" spans="1:14" ht="38.25">
      <c r="A86" s="18" t="s">
        <v>107</v>
      </c>
      <c r="B86" s="18" t="s">
        <v>621</v>
      </c>
      <c r="C86" s="18" t="s">
        <v>626</v>
      </c>
      <c r="D86" s="18" t="s">
        <v>623</v>
      </c>
      <c r="E86" s="18" t="s">
        <v>627</v>
      </c>
      <c r="F86" s="18" t="s">
        <v>628</v>
      </c>
      <c r="G86" s="23" t="s">
        <v>40</v>
      </c>
      <c r="H86" s="18" t="s">
        <v>57</v>
      </c>
      <c r="I86" s="18" t="s">
        <v>57</v>
      </c>
      <c r="J86" s="18" t="s">
        <v>20</v>
      </c>
      <c r="K86" s="18" t="s">
        <v>48</v>
      </c>
      <c r="L86" s="21" t="s">
        <v>28</v>
      </c>
      <c r="M86" s="18" t="s">
        <v>629</v>
      </c>
      <c r="N86" s="18" t="s">
        <v>630</v>
      </c>
    </row>
    <row r="87" spans="1:14" ht="25.5">
      <c r="A87" s="18" t="s">
        <v>631</v>
      </c>
      <c r="B87" s="18" t="s">
        <v>621</v>
      </c>
      <c r="C87" s="18" t="s">
        <v>632</v>
      </c>
      <c r="D87" s="18" t="s">
        <v>623</v>
      </c>
      <c r="E87" s="18" t="s">
        <v>633</v>
      </c>
      <c r="F87" s="18" t="s">
        <v>39</v>
      </c>
      <c r="G87" s="22" t="s">
        <v>39</v>
      </c>
      <c r="H87" s="18" t="s">
        <v>57</v>
      </c>
      <c r="I87" s="18" t="s">
        <v>57</v>
      </c>
      <c r="J87" s="18" t="s">
        <v>20</v>
      </c>
      <c r="K87" s="18" t="s">
        <v>36</v>
      </c>
      <c r="L87" s="21" t="s">
        <v>28</v>
      </c>
      <c r="M87" s="18" t="s">
        <v>634</v>
      </c>
      <c r="N87" s="18"/>
    </row>
    <row r="88" spans="1:14" ht="51">
      <c r="A88" s="18" t="s">
        <v>635</v>
      </c>
      <c r="B88" s="18" t="s">
        <v>621</v>
      </c>
      <c r="C88" s="18" t="s">
        <v>636</v>
      </c>
      <c r="D88" s="18" t="s">
        <v>623</v>
      </c>
      <c r="E88" s="18" t="s">
        <v>637</v>
      </c>
      <c r="F88" s="18" t="s">
        <v>464</v>
      </c>
      <c r="G88" s="19" t="s">
        <v>38</v>
      </c>
      <c r="H88" s="18" t="s">
        <v>57</v>
      </c>
      <c r="I88" s="18" t="s">
        <v>57</v>
      </c>
      <c r="J88" s="18" t="s">
        <v>20</v>
      </c>
      <c r="K88" s="18" t="s">
        <v>48</v>
      </c>
      <c r="L88" s="21" t="s">
        <v>28</v>
      </c>
      <c r="M88" s="18" t="s">
        <v>638</v>
      </c>
      <c r="N88" s="18"/>
    </row>
    <row r="89" spans="1:14" ht="38.25">
      <c r="A89" s="18" t="s">
        <v>639</v>
      </c>
      <c r="B89" s="18" t="s">
        <v>640</v>
      </c>
      <c r="C89" s="18" t="s">
        <v>641</v>
      </c>
      <c r="D89" s="18" t="s">
        <v>623</v>
      </c>
      <c r="E89" s="18" t="s">
        <v>642</v>
      </c>
      <c r="F89" s="18" t="s">
        <v>38</v>
      </c>
      <c r="G89" s="19" t="s">
        <v>38</v>
      </c>
      <c r="H89" s="18" t="s">
        <v>309</v>
      </c>
      <c r="I89" s="18" t="s">
        <v>55</v>
      </c>
      <c r="J89" s="18" t="s">
        <v>20</v>
      </c>
      <c r="K89" s="18" t="s">
        <v>47</v>
      </c>
      <c r="L89" s="21" t="s">
        <v>28</v>
      </c>
      <c r="M89" s="18" t="s">
        <v>643</v>
      </c>
      <c r="N89" s="18"/>
    </row>
    <row r="90" spans="1:14" ht="89.25">
      <c r="A90" s="18" t="s">
        <v>165</v>
      </c>
      <c r="B90" s="18" t="s">
        <v>640</v>
      </c>
      <c r="C90" s="18" t="s">
        <v>644</v>
      </c>
      <c r="D90" s="18" t="s">
        <v>623</v>
      </c>
      <c r="E90" s="18" t="s">
        <v>645</v>
      </c>
      <c r="F90" s="18" t="s">
        <v>646</v>
      </c>
      <c r="G90" s="23" t="s">
        <v>40</v>
      </c>
      <c r="H90" s="18" t="s">
        <v>647</v>
      </c>
      <c r="I90" s="18" t="s">
        <v>56</v>
      </c>
      <c r="J90" s="18" t="s">
        <v>22</v>
      </c>
      <c r="K90" s="18" t="s">
        <v>48</v>
      </c>
      <c r="L90" s="21" t="s">
        <v>28</v>
      </c>
      <c r="M90" s="18" t="s">
        <v>648</v>
      </c>
      <c r="N90" s="18" t="s">
        <v>649</v>
      </c>
    </row>
    <row r="91" spans="1:14" ht="51">
      <c r="A91" s="18" t="s">
        <v>176</v>
      </c>
      <c r="B91" s="18" t="s">
        <v>640</v>
      </c>
      <c r="C91" s="18" t="s">
        <v>650</v>
      </c>
      <c r="D91" s="18" t="s">
        <v>623</v>
      </c>
      <c r="E91" s="18" t="s">
        <v>651</v>
      </c>
      <c r="F91" s="18" t="s">
        <v>43</v>
      </c>
      <c r="G91" s="29" t="s">
        <v>43</v>
      </c>
      <c r="H91" s="18" t="s">
        <v>53</v>
      </c>
      <c r="I91" s="18" t="s">
        <v>53</v>
      </c>
      <c r="J91" s="18" t="s">
        <v>546</v>
      </c>
      <c r="K91" s="18" t="s">
        <v>48</v>
      </c>
      <c r="L91" s="21" t="s">
        <v>28</v>
      </c>
      <c r="M91" s="18" t="s">
        <v>652</v>
      </c>
      <c r="N91" s="18" t="s">
        <v>653</v>
      </c>
    </row>
    <row r="92" spans="1:14" ht="25.5">
      <c r="A92" s="18" t="s">
        <v>654</v>
      </c>
      <c r="B92" s="18" t="s">
        <v>655</v>
      </c>
      <c r="C92" s="18" t="s">
        <v>656</v>
      </c>
      <c r="D92" s="18" t="s">
        <v>657</v>
      </c>
      <c r="E92" s="18" t="s">
        <v>658</v>
      </c>
      <c r="F92" s="18" t="s">
        <v>38</v>
      </c>
      <c r="G92" s="19" t="s">
        <v>38</v>
      </c>
      <c r="H92" s="18" t="s">
        <v>57</v>
      </c>
      <c r="I92" s="18" t="s">
        <v>57</v>
      </c>
      <c r="J92" s="18" t="s">
        <v>20</v>
      </c>
      <c r="K92" s="18" t="s">
        <v>659</v>
      </c>
      <c r="L92" s="21" t="s">
        <v>28</v>
      </c>
      <c r="M92" s="18" t="s">
        <v>660</v>
      </c>
      <c r="N92" s="18"/>
    </row>
    <row r="93" spans="1:14" ht="38.25">
      <c r="A93" s="18" t="s">
        <v>661</v>
      </c>
      <c r="B93" s="18" t="s">
        <v>662</v>
      </c>
      <c r="C93" s="18" t="s">
        <v>663</v>
      </c>
      <c r="D93" s="18" t="s">
        <v>657</v>
      </c>
      <c r="E93" s="18" t="s">
        <v>664</v>
      </c>
      <c r="F93" s="18" t="s">
        <v>38</v>
      </c>
      <c r="G93" s="19" t="s">
        <v>38</v>
      </c>
      <c r="H93" s="18" t="s">
        <v>57</v>
      </c>
      <c r="I93" s="18" t="s">
        <v>57</v>
      </c>
      <c r="J93" s="18" t="s">
        <v>20</v>
      </c>
      <c r="K93" s="18" t="s">
        <v>659</v>
      </c>
      <c r="L93" s="21" t="s">
        <v>28</v>
      </c>
      <c r="M93" s="18" t="s">
        <v>665</v>
      </c>
      <c r="N93" s="18"/>
    </row>
    <row r="94" spans="1:14" ht="25.5">
      <c r="A94" s="18" t="s">
        <v>666</v>
      </c>
      <c r="B94" s="18" t="s">
        <v>667</v>
      </c>
      <c r="C94" s="18" t="s">
        <v>668</v>
      </c>
      <c r="D94" s="18" t="s">
        <v>657</v>
      </c>
      <c r="E94" s="18" t="s">
        <v>669</v>
      </c>
      <c r="F94" s="18" t="s">
        <v>38</v>
      </c>
      <c r="G94" s="19" t="s">
        <v>38</v>
      </c>
      <c r="H94" s="18" t="s">
        <v>57</v>
      </c>
      <c r="I94" s="18" t="s">
        <v>57</v>
      </c>
      <c r="J94" s="18" t="s">
        <v>20</v>
      </c>
      <c r="K94" s="18" t="s">
        <v>36</v>
      </c>
      <c r="L94" s="21" t="s">
        <v>28</v>
      </c>
      <c r="M94" s="18" t="s">
        <v>670</v>
      </c>
      <c r="N94" s="18"/>
    </row>
    <row r="95" spans="1:14" ht="38.25">
      <c r="A95" s="18" t="s">
        <v>86</v>
      </c>
      <c r="B95" s="18" t="s">
        <v>667</v>
      </c>
      <c r="C95" s="18" t="s">
        <v>671</v>
      </c>
      <c r="D95" s="18" t="s">
        <v>657</v>
      </c>
      <c r="E95" s="18" t="s">
        <v>672</v>
      </c>
      <c r="F95" s="18" t="s">
        <v>38</v>
      </c>
      <c r="G95" s="19" t="s">
        <v>38</v>
      </c>
      <c r="H95" s="18" t="s">
        <v>57</v>
      </c>
      <c r="I95" s="18" t="s">
        <v>57</v>
      </c>
      <c r="J95" s="18" t="s">
        <v>20</v>
      </c>
      <c r="K95" s="18" t="s">
        <v>47</v>
      </c>
      <c r="L95" s="21" t="s">
        <v>28</v>
      </c>
      <c r="M95" s="18" t="s">
        <v>673</v>
      </c>
      <c r="N95" s="18"/>
    </row>
    <row r="96" spans="1:14" ht="38.25">
      <c r="A96" s="18" t="s">
        <v>674</v>
      </c>
      <c r="B96" s="18" t="s">
        <v>675</v>
      </c>
      <c r="C96" s="18" t="s">
        <v>676</v>
      </c>
      <c r="D96" s="18" t="s">
        <v>657</v>
      </c>
      <c r="E96" s="18" t="s">
        <v>677</v>
      </c>
      <c r="F96" s="18" t="s">
        <v>678</v>
      </c>
      <c r="G96" s="19" t="s">
        <v>38</v>
      </c>
      <c r="H96" s="18" t="s">
        <v>58</v>
      </c>
      <c r="I96" s="18" t="s">
        <v>58</v>
      </c>
      <c r="J96" s="18" t="s">
        <v>22</v>
      </c>
      <c r="K96" s="18" t="s">
        <v>47</v>
      </c>
      <c r="L96" s="21" t="s">
        <v>28</v>
      </c>
      <c r="M96" s="18" t="s">
        <v>679</v>
      </c>
      <c r="N96" s="18"/>
    </row>
    <row r="97" spans="1:14" ht="25.5">
      <c r="A97" s="18" t="s">
        <v>680</v>
      </c>
      <c r="B97" s="18" t="s">
        <v>667</v>
      </c>
      <c r="C97" s="18" t="s">
        <v>681</v>
      </c>
      <c r="D97" s="18" t="s">
        <v>657</v>
      </c>
      <c r="E97" s="18" t="s">
        <v>682</v>
      </c>
      <c r="F97" s="18" t="s">
        <v>39</v>
      </c>
      <c r="G97" s="22" t="s">
        <v>39</v>
      </c>
      <c r="H97" s="18" t="s">
        <v>57</v>
      </c>
      <c r="I97" s="18" t="s">
        <v>57</v>
      </c>
      <c r="J97" s="18" t="s">
        <v>20</v>
      </c>
      <c r="K97" s="18" t="s">
        <v>48</v>
      </c>
      <c r="L97" s="21" t="s">
        <v>28</v>
      </c>
      <c r="M97" s="18" t="s">
        <v>683</v>
      </c>
      <c r="N97" s="18"/>
    </row>
    <row r="98" spans="1:14" ht="25.5">
      <c r="A98" s="18" t="s">
        <v>684</v>
      </c>
      <c r="B98" s="18" t="s">
        <v>667</v>
      </c>
      <c r="C98" s="18" t="s">
        <v>685</v>
      </c>
      <c r="D98" s="18" t="s">
        <v>657</v>
      </c>
      <c r="E98" s="18" t="s">
        <v>686</v>
      </c>
      <c r="F98" s="18" t="s">
        <v>38</v>
      </c>
      <c r="G98" s="19" t="s">
        <v>38</v>
      </c>
      <c r="H98" s="18" t="s">
        <v>58</v>
      </c>
      <c r="I98" s="18" t="s">
        <v>58</v>
      </c>
      <c r="J98" s="18" t="s">
        <v>20</v>
      </c>
      <c r="K98" s="18" t="s">
        <v>48</v>
      </c>
      <c r="L98" s="21" t="s">
        <v>28</v>
      </c>
      <c r="M98" s="18" t="s">
        <v>687</v>
      </c>
      <c r="N98" s="18"/>
    </row>
  </sheetData>
  <autoFilter ref="A1:N98"/>
  <dataValidations count="1">
    <dataValidation type="list" allowBlank="1" sqref="L2:L98">
      <formula1>"Live in POC,Partly in POC,Available (standard, not demoed),Not in POC,Out of POC scope"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8"/>
  <sheetViews>
    <sheetView topLeftCell="A10" workbookViewId="0">
      <selection activeCell="A24" sqref="A24:B28"/>
    </sheetView>
  </sheetViews>
  <sheetFormatPr defaultRowHeight="15"/>
  <cols>
    <col min="1" max="1" width="26" customWidth="1"/>
    <col min="2" max="2" width="96" customWidth="1"/>
  </cols>
  <sheetData>
    <row r="1" spans="1:2" ht="15.75">
      <c r="A1" s="31" t="s">
        <v>688</v>
      </c>
    </row>
    <row r="3" spans="1:2">
      <c r="A3" s="17" t="s">
        <v>202</v>
      </c>
      <c r="B3" s="17" t="s">
        <v>689</v>
      </c>
    </row>
    <row r="4" spans="1:2">
      <c r="A4" s="18" t="s">
        <v>690</v>
      </c>
      <c r="B4" s="18" t="s">
        <v>691</v>
      </c>
    </row>
    <row r="5" spans="1:2" ht="25.5">
      <c r="A5" s="18" t="s">
        <v>692</v>
      </c>
      <c r="B5" s="18" t="s">
        <v>693</v>
      </c>
    </row>
    <row r="6" spans="1:2">
      <c r="A6" s="18" t="s">
        <v>694</v>
      </c>
      <c r="B6" s="18" t="s">
        <v>695</v>
      </c>
    </row>
    <row r="7" spans="1:2" ht="38.25">
      <c r="A7" s="18" t="s">
        <v>696</v>
      </c>
      <c r="B7" s="18" t="s">
        <v>697</v>
      </c>
    </row>
    <row r="8" spans="1:2" ht="25.5">
      <c r="A8" s="18" t="s">
        <v>698</v>
      </c>
      <c r="B8" s="18" t="s">
        <v>699</v>
      </c>
    </row>
    <row r="9" spans="1:2" ht="25.5">
      <c r="A9" s="18" t="s">
        <v>700</v>
      </c>
      <c r="B9" s="18" t="s">
        <v>701</v>
      </c>
    </row>
    <row r="10" spans="1:2" ht="25.5">
      <c r="A10" s="18" t="s">
        <v>702</v>
      </c>
      <c r="B10" s="18" t="s">
        <v>703</v>
      </c>
    </row>
    <row r="11" spans="1:2" ht="25.5">
      <c r="A11" s="18" t="s">
        <v>704</v>
      </c>
      <c r="B11" s="18" t="s">
        <v>705</v>
      </c>
    </row>
    <row r="12" spans="1:2" ht="25.5">
      <c r="A12" s="18" t="s">
        <v>194</v>
      </c>
      <c r="B12" s="18" t="s">
        <v>706</v>
      </c>
    </row>
    <row r="13" spans="1:2">
      <c r="A13" s="18" t="s">
        <v>707</v>
      </c>
      <c r="B13" s="18" t="s">
        <v>708</v>
      </c>
    </row>
    <row r="14" spans="1:2" ht="25.5">
      <c r="A14" s="18" t="s">
        <v>709</v>
      </c>
      <c r="B14" s="18" t="s">
        <v>710</v>
      </c>
    </row>
    <row r="15" spans="1:2" ht="25.5">
      <c r="A15" s="18" t="s">
        <v>711</v>
      </c>
      <c r="B15" s="18" t="s">
        <v>712</v>
      </c>
    </row>
    <row r="16" spans="1:2">
      <c r="A16" s="18" t="s">
        <v>713</v>
      </c>
      <c r="B16" s="18" t="s">
        <v>714</v>
      </c>
    </row>
    <row r="17" spans="1:2" ht="25.5">
      <c r="A17" s="18" t="s">
        <v>715</v>
      </c>
      <c r="B17" s="18" t="s">
        <v>716</v>
      </c>
    </row>
    <row r="18" spans="1:2" ht="25.5">
      <c r="A18" s="18" t="s">
        <v>717</v>
      </c>
      <c r="B18" s="18" t="s">
        <v>718</v>
      </c>
    </row>
    <row r="19" spans="1:2" ht="25.5">
      <c r="A19" s="18" t="s">
        <v>719</v>
      </c>
      <c r="B19" s="18" t="s">
        <v>720</v>
      </c>
    </row>
    <row r="20" spans="1:2" ht="38.25">
      <c r="A20" s="18" t="s">
        <v>721</v>
      </c>
      <c r="B20" s="18" t="s">
        <v>722</v>
      </c>
    </row>
    <row r="23" spans="1:2">
      <c r="A23" s="5" t="s">
        <v>723</v>
      </c>
    </row>
    <row r="24" spans="1:2">
      <c r="A24" s="4" t="s">
        <v>724</v>
      </c>
      <c r="B24" s="2" t="s">
        <v>725</v>
      </c>
    </row>
    <row r="25" spans="1:2">
      <c r="A25" s="4" t="s">
        <v>724</v>
      </c>
      <c r="B25" s="2" t="s">
        <v>726</v>
      </c>
    </row>
    <row r="26" spans="1:2">
      <c r="A26" s="4" t="s">
        <v>724</v>
      </c>
      <c r="B26" s="2" t="s">
        <v>727</v>
      </c>
    </row>
    <row r="27" spans="1:2">
      <c r="A27" s="4" t="s">
        <v>724</v>
      </c>
      <c r="B27" s="2" t="s">
        <v>728</v>
      </c>
    </row>
    <row r="28" spans="1:2">
      <c r="A28" s="4" t="s">
        <v>724</v>
      </c>
      <c r="B28" s="2" t="s">
        <v>729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0"/>
  <sheetViews>
    <sheetView workbookViewId="0">
      <pane ySplit="1" topLeftCell="A2" activePane="bottomLeft" state="frozen"/>
      <selection pane="bottomLeft" activeCell="B3" sqref="B3"/>
    </sheetView>
  </sheetViews>
  <sheetFormatPr defaultRowHeight="15"/>
  <cols>
    <col min="1" max="1" width="6" customWidth="1"/>
    <col min="2" max="2" width="22" customWidth="1"/>
    <col min="3" max="3" width="70" customWidth="1"/>
    <col min="4" max="4" width="18" customWidth="1"/>
    <col min="5" max="5" width="10" customWidth="1"/>
    <col min="6" max="6" width="40" customWidth="1"/>
    <col min="7" max="7" width="14" customWidth="1"/>
  </cols>
  <sheetData>
    <row r="1" spans="1:7">
      <c r="A1" s="17" t="s">
        <v>61</v>
      </c>
      <c r="B1" s="17" t="s">
        <v>730</v>
      </c>
      <c r="C1" s="17" t="s">
        <v>731</v>
      </c>
      <c r="D1" s="17" t="s">
        <v>732</v>
      </c>
      <c r="E1" s="17" t="s">
        <v>733</v>
      </c>
      <c r="F1" s="17" t="s">
        <v>734</v>
      </c>
      <c r="G1" s="17" t="s">
        <v>735</v>
      </c>
    </row>
    <row r="2" spans="1:7" ht="25.5">
      <c r="A2" s="18" t="s">
        <v>736</v>
      </c>
      <c r="B2" s="18" t="s">
        <v>544</v>
      </c>
      <c r="C2" s="18" t="s">
        <v>737</v>
      </c>
      <c r="D2" s="18" t="s">
        <v>172</v>
      </c>
      <c r="E2" s="18" t="s">
        <v>53</v>
      </c>
      <c r="F2" s="32"/>
      <c r="G2" s="18"/>
    </row>
    <row r="3" spans="1:7" ht="25.5">
      <c r="A3" s="18" t="s">
        <v>738</v>
      </c>
      <c r="B3" s="18" t="s">
        <v>739</v>
      </c>
      <c r="C3" s="18" t="s">
        <v>740</v>
      </c>
      <c r="D3" s="18" t="s">
        <v>741</v>
      </c>
      <c r="E3" s="18" t="s">
        <v>53</v>
      </c>
      <c r="F3" s="32"/>
      <c r="G3" s="18"/>
    </row>
    <row r="4" spans="1:7">
      <c r="A4" s="18" t="s">
        <v>742</v>
      </c>
      <c r="B4" s="18" t="s">
        <v>743</v>
      </c>
      <c r="C4" s="18" t="s">
        <v>744</v>
      </c>
      <c r="D4" s="18" t="s">
        <v>745</v>
      </c>
      <c r="E4" s="18" t="s">
        <v>53</v>
      </c>
      <c r="F4" s="32"/>
      <c r="G4" s="18"/>
    </row>
    <row r="5" spans="1:7" ht="25.5">
      <c r="A5" s="18" t="s">
        <v>746</v>
      </c>
      <c r="B5" s="18" t="s">
        <v>747</v>
      </c>
      <c r="C5" s="18" t="s">
        <v>748</v>
      </c>
      <c r="D5" s="18" t="s">
        <v>749</v>
      </c>
      <c r="E5" s="18" t="s">
        <v>53</v>
      </c>
      <c r="F5" s="32"/>
      <c r="G5" s="18"/>
    </row>
    <row r="6" spans="1:7">
      <c r="A6" s="18" t="s">
        <v>750</v>
      </c>
      <c r="B6" s="18" t="s">
        <v>751</v>
      </c>
      <c r="C6" s="18" t="s">
        <v>752</v>
      </c>
      <c r="D6" s="18" t="s">
        <v>753</v>
      </c>
      <c r="E6" s="18" t="s">
        <v>53</v>
      </c>
      <c r="F6" s="32"/>
      <c r="G6" s="18"/>
    </row>
    <row r="7" spans="1:7" ht="25.5">
      <c r="A7" s="18" t="s">
        <v>754</v>
      </c>
      <c r="B7" s="18" t="s">
        <v>755</v>
      </c>
      <c r="C7" s="18" t="s">
        <v>756</v>
      </c>
      <c r="D7" s="18" t="s">
        <v>169</v>
      </c>
      <c r="E7" s="18" t="s">
        <v>53</v>
      </c>
      <c r="F7" s="32"/>
      <c r="G7" s="18"/>
    </row>
    <row r="8" spans="1:7" ht="25.5">
      <c r="A8" s="18" t="s">
        <v>757</v>
      </c>
      <c r="B8" s="18" t="s">
        <v>758</v>
      </c>
      <c r="C8" s="18" t="s">
        <v>759</v>
      </c>
      <c r="D8" s="18" t="s">
        <v>151</v>
      </c>
      <c r="E8" s="18" t="s">
        <v>53</v>
      </c>
      <c r="F8" s="32"/>
      <c r="G8" s="18"/>
    </row>
    <row r="9" spans="1:7" ht="25.5">
      <c r="A9" s="18" t="s">
        <v>760</v>
      </c>
      <c r="B9" s="18" t="s">
        <v>761</v>
      </c>
      <c r="C9" s="18" t="s">
        <v>762</v>
      </c>
      <c r="D9" s="18" t="s">
        <v>107</v>
      </c>
      <c r="E9" s="18" t="s">
        <v>53</v>
      </c>
      <c r="F9" s="32"/>
      <c r="G9" s="18"/>
    </row>
    <row r="10" spans="1:7">
      <c r="A10" s="18" t="s">
        <v>763</v>
      </c>
      <c r="B10" s="18" t="s">
        <v>650</v>
      </c>
      <c r="C10" s="18" t="s">
        <v>764</v>
      </c>
      <c r="D10" s="18" t="s">
        <v>176</v>
      </c>
      <c r="E10" s="18" t="s">
        <v>53</v>
      </c>
      <c r="F10" s="32"/>
      <c r="G10" s="18"/>
    </row>
    <row r="11" spans="1:7" ht="25.5">
      <c r="A11" s="18" t="s">
        <v>765</v>
      </c>
      <c r="B11" s="18" t="s">
        <v>766</v>
      </c>
      <c r="C11" s="18" t="s">
        <v>767</v>
      </c>
      <c r="D11" s="18" t="s">
        <v>768</v>
      </c>
      <c r="E11" s="18" t="s">
        <v>53</v>
      </c>
      <c r="F11" s="32"/>
      <c r="G11" s="18"/>
    </row>
    <row r="12" spans="1:7" ht="25.5">
      <c r="A12" s="18" t="s">
        <v>769</v>
      </c>
      <c r="B12" s="18" t="s">
        <v>770</v>
      </c>
      <c r="C12" s="18" t="s">
        <v>771</v>
      </c>
      <c r="D12" s="18" t="s">
        <v>165</v>
      </c>
      <c r="E12" s="18" t="s">
        <v>53</v>
      </c>
      <c r="F12" s="32"/>
      <c r="G12" s="18"/>
    </row>
    <row r="13" spans="1:7">
      <c r="A13" s="18" t="s">
        <v>772</v>
      </c>
      <c r="B13" s="18" t="s">
        <v>773</v>
      </c>
      <c r="C13" s="18" t="s">
        <v>774</v>
      </c>
      <c r="D13" s="18" t="s">
        <v>775</v>
      </c>
      <c r="E13" s="18" t="s">
        <v>53</v>
      </c>
      <c r="F13" s="32"/>
      <c r="G13" s="18"/>
    </row>
    <row r="14" spans="1:7" ht="25.5">
      <c r="A14" s="18" t="s">
        <v>776</v>
      </c>
      <c r="B14" s="18" t="s">
        <v>777</v>
      </c>
      <c r="C14" s="18" t="s">
        <v>778</v>
      </c>
      <c r="D14" s="18" t="s">
        <v>154</v>
      </c>
      <c r="E14" s="18" t="s">
        <v>53</v>
      </c>
      <c r="F14" s="32"/>
      <c r="G14" s="18"/>
    </row>
    <row r="15" spans="1:7" ht="25.5">
      <c r="A15" s="18" t="s">
        <v>779</v>
      </c>
      <c r="B15" s="18" t="s">
        <v>780</v>
      </c>
      <c r="C15" s="18" t="s">
        <v>781</v>
      </c>
      <c r="D15" s="18" t="s">
        <v>101</v>
      </c>
      <c r="E15" s="18" t="s">
        <v>54</v>
      </c>
      <c r="F15" s="32"/>
      <c r="G15" s="18"/>
    </row>
    <row r="16" spans="1:7">
      <c r="A16" s="18" t="s">
        <v>782</v>
      </c>
      <c r="B16" s="18" t="s">
        <v>783</v>
      </c>
      <c r="C16" s="18" t="s">
        <v>784</v>
      </c>
      <c r="D16" s="18" t="s">
        <v>161</v>
      </c>
      <c r="E16" s="18" t="s">
        <v>54</v>
      </c>
      <c r="F16" s="32"/>
      <c r="G16" s="18"/>
    </row>
    <row r="17" spans="1:7">
      <c r="A17" s="18" t="s">
        <v>785</v>
      </c>
      <c r="B17" s="18" t="s">
        <v>786</v>
      </c>
      <c r="C17" s="18" t="s">
        <v>787</v>
      </c>
      <c r="D17" s="18" t="s">
        <v>526</v>
      </c>
      <c r="E17" s="18" t="s">
        <v>54</v>
      </c>
      <c r="F17" s="32"/>
      <c r="G17" s="18"/>
    </row>
    <row r="18" spans="1:7" ht="25.5">
      <c r="A18" s="18" t="s">
        <v>788</v>
      </c>
      <c r="B18" s="18" t="s">
        <v>789</v>
      </c>
      <c r="C18" s="18" t="s">
        <v>790</v>
      </c>
      <c r="D18" s="18" t="s">
        <v>397</v>
      </c>
      <c r="E18" s="18" t="s">
        <v>53</v>
      </c>
      <c r="F18" s="32"/>
      <c r="G18" s="18"/>
    </row>
    <row r="19" spans="1:7" ht="25.5">
      <c r="A19" s="18" t="s">
        <v>791</v>
      </c>
      <c r="B19" s="18" t="s">
        <v>792</v>
      </c>
      <c r="C19" s="18" t="s">
        <v>793</v>
      </c>
      <c r="D19" s="18" t="s">
        <v>794</v>
      </c>
      <c r="E19" s="18" t="s">
        <v>53</v>
      </c>
      <c r="F19" s="32"/>
      <c r="G19" s="18"/>
    </row>
    <row r="20" spans="1:7">
      <c r="A20" s="18" t="s">
        <v>795</v>
      </c>
      <c r="B20" s="18" t="s">
        <v>796</v>
      </c>
      <c r="C20" s="18" t="s">
        <v>797</v>
      </c>
      <c r="D20" s="18" t="s">
        <v>110</v>
      </c>
      <c r="E20" s="18" t="s">
        <v>57</v>
      </c>
      <c r="F20" s="32"/>
      <c r="G20" s="18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selection activeCell="B2" sqref="B2"/>
    </sheetView>
  </sheetViews>
  <sheetFormatPr defaultRowHeight="15"/>
  <cols>
    <col min="1" max="1" width="5" customWidth="1"/>
    <col min="2" max="2" width="102" customWidth="1"/>
    <col min="3" max="3" width="40" customWidth="1"/>
    <col min="4" max="4" width="45" customWidth="1"/>
  </cols>
  <sheetData>
    <row r="1" spans="1:4">
      <c r="A1" s="17" t="s">
        <v>61</v>
      </c>
      <c r="B1" s="17" t="s">
        <v>798</v>
      </c>
      <c r="C1" s="17" t="s">
        <v>799</v>
      </c>
      <c r="D1" s="17" t="s">
        <v>800</v>
      </c>
    </row>
    <row r="2" spans="1:4" ht="38.25">
      <c r="A2" s="18">
        <v>1</v>
      </c>
      <c r="B2" s="18" t="s">
        <v>801</v>
      </c>
      <c r="C2" s="18" t="s">
        <v>382</v>
      </c>
      <c r="D2" s="18" t="s">
        <v>802</v>
      </c>
    </row>
    <row r="3" spans="1:4" ht="38.25">
      <c r="A3" s="18">
        <v>2</v>
      </c>
      <c r="B3" s="18" t="s">
        <v>803</v>
      </c>
      <c r="C3" s="18" t="s">
        <v>804</v>
      </c>
      <c r="D3" s="18" t="s">
        <v>805</v>
      </c>
    </row>
    <row r="4" spans="1:4" ht="38.25">
      <c r="A4" s="18">
        <v>3</v>
      </c>
      <c r="B4" s="18" t="s">
        <v>806</v>
      </c>
      <c r="C4" s="18" t="s">
        <v>807</v>
      </c>
      <c r="D4" s="18" t="s">
        <v>808</v>
      </c>
    </row>
    <row r="5" spans="1:4" ht="38.25">
      <c r="A5" s="18">
        <v>4</v>
      </c>
      <c r="B5" s="18" t="s">
        <v>809</v>
      </c>
      <c r="C5" s="18" t="s">
        <v>810</v>
      </c>
      <c r="D5" s="18" t="s">
        <v>811</v>
      </c>
    </row>
    <row r="6" spans="1:4" ht="38.25">
      <c r="A6" s="18">
        <v>5</v>
      </c>
      <c r="B6" s="18" t="s">
        <v>812</v>
      </c>
      <c r="C6" s="18" t="s">
        <v>813</v>
      </c>
      <c r="D6" s="18" t="s">
        <v>814</v>
      </c>
    </row>
    <row r="7" spans="1:4" ht="38.25">
      <c r="A7" s="18">
        <v>6</v>
      </c>
      <c r="B7" s="18" t="s">
        <v>815</v>
      </c>
      <c r="C7" s="18" t="s">
        <v>816</v>
      </c>
      <c r="D7" s="18" t="s">
        <v>817</v>
      </c>
    </row>
    <row r="8" spans="1:4" ht="51">
      <c r="A8" s="18">
        <v>7</v>
      </c>
      <c r="B8" s="18" t="s">
        <v>818</v>
      </c>
      <c r="C8" s="18" t="s">
        <v>154</v>
      </c>
      <c r="D8" s="18" t="s">
        <v>819</v>
      </c>
    </row>
    <row r="9" spans="1:4" ht="38.25">
      <c r="A9" s="18">
        <v>8</v>
      </c>
      <c r="B9" s="18" t="s">
        <v>820</v>
      </c>
      <c r="C9" s="18" t="s">
        <v>116</v>
      </c>
      <c r="D9" s="18" t="s">
        <v>821</v>
      </c>
    </row>
    <row r="10" spans="1:4" ht="51">
      <c r="A10" s="18">
        <v>9</v>
      </c>
      <c r="B10" s="18" t="s">
        <v>822</v>
      </c>
      <c r="C10" s="18" t="s">
        <v>823</v>
      </c>
      <c r="D10" s="18" t="s">
        <v>824</v>
      </c>
    </row>
    <row r="11" spans="1:4" ht="38.25">
      <c r="A11" s="18">
        <v>10</v>
      </c>
      <c r="B11" s="18" t="s">
        <v>825</v>
      </c>
      <c r="C11" s="18" t="s">
        <v>169</v>
      </c>
      <c r="D11" s="18" t="s">
        <v>826</v>
      </c>
    </row>
    <row r="12" spans="1:4" ht="51">
      <c r="A12" s="18">
        <v>11</v>
      </c>
      <c r="B12" s="18" t="s">
        <v>827</v>
      </c>
      <c r="C12" s="18" t="s">
        <v>151</v>
      </c>
      <c r="D12" s="18" t="s">
        <v>828</v>
      </c>
    </row>
    <row r="13" spans="1:4" ht="38.25">
      <c r="A13" s="18">
        <v>12</v>
      </c>
      <c r="B13" s="18" t="s">
        <v>829</v>
      </c>
      <c r="C13" s="18" t="s">
        <v>165</v>
      </c>
      <c r="D13" s="18" t="s">
        <v>830</v>
      </c>
    </row>
    <row r="14" spans="1:4" ht="38.25">
      <c r="A14" s="18">
        <v>13</v>
      </c>
      <c r="B14" s="18" t="s">
        <v>831</v>
      </c>
      <c r="C14" s="18" t="s">
        <v>832</v>
      </c>
      <c r="D14" s="18" t="s">
        <v>833</v>
      </c>
    </row>
    <row r="15" spans="1:4" ht="51">
      <c r="A15" s="18">
        <v>14</v>
      </c>
      <c r="B15" s="18" t="s">
        <v>834</v>
      </c>
      <c r="C15" s="18" t="s">
        <v>768</v>
      </c>
      <c r="D15" s="18" t="s">
        <v>835</v>
      </c>
    </row>
    <row r="16" spans="1:4" ht="25.5">
      <c r="A16" s="18">
        <v>15</v>
      </c>
      <c r="B16" s="18" t="s">
        <v>836</v>
      </c>
      <c r="C16" s="18" t="s">
        <v>397</v>
      </c>
      <c r="D16" s="18" t="s">
        <v>837</v>
      </c>
    </row>
    <row r="17" spans="1:4" ht="63.75">
      <c r="A17" s="18">
        <v>16</v>
      </c>
      <c r="B17" s="18" t="s">
        <v>838</v>
      </c>
      <c r="C17" s="18" t="s">
        <v>578</v>
      </c>
      <c r="D17" s="18" t="s">
        <v>839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Summary</vt:lpstr>
      <vt:lpstr>Completion Plan</vt:lpstr>
      <vt:lpstr>Matrix</vt:lpstr>
      <vt:lpstr>POC Extras</vt:lpstr>
      <vt:lpstr>Open Questions</vt:lpstr>
      <vt:lpstr>Plan Changes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2026-09-18T22:01:22Z</dcterms:created>
  <dcterms:modified xsi:type="dcterms:W3CDTF">2026-09-19T09:10:01Z</dcterms:modified>
</cp:coreProperties>
</file>