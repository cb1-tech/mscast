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Matrix" sheetId="3" state="visible" r:id="rId5"/>
    <sheet name="Open Questions" sheetId="4" state="visible" r:id="rId6"/>
    <sheet name="Plan Changes v1.1" sheetId="5" state="visible" r:id="rId7"/>
  </sheets>
  <definedNames>
    <definedName function="false" hidden="true" localSheetId="2" name="_xlnm._FilterDatabase" vbProcedure="false">Matrix!$A$1:$M$98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<sst xmlns="http://schemas.openxmlformats.org/spreadsheetml/2006/main" count="1398" uniqueCount="570">
  <si>
    <t xml:space="preserve">MSCAST ERP – Requirements Traceability Matrix</t>
  </si>
  <si>
    <t xml:space="preserve">Version 1.0 · 16 Sep 2026 · Prepared for Sanjay</t>
  </si>
  <si>
    <t xml:space="preserve">Source: MSCAST 'ERP_Requirement_Final.pdf' (15 pages: functional description p1–8, Accounts POV p9–15).</t>
  </si>
  <si>
    <t xml:space="preserve">Each requirement is mapped to ERPNext v16 + India Compliance v16.9 + Frappe HR v16.18 + india-payroll v16.0.4, verified against source code on 16 Sep 2026.</t>
  </si>
  <si>
    <t xml:space="preserve">Category legend</t>
  </si>
  <si>
    <t xml:space="preserve">Standard – works out of the box · Config – settings, roles, print formats, notifications · Custom – new forms/reports/scripts in the mscast_erp app</t>
  </si>
  <si>
    <t xml:space="preserve">Integration – external device/service · External – handled outside ERP (CA, policy) · Open question – needs MSCAST clarification</t>
  </si>
  <si>
    <t xml:space="preserve">Size legend: S ≈ ≤2 days · M ≈ 3–6 days · L ≈ 7–12 days (build/config effort). Day values used for totals are editable on the Summary sheet (blue cells).</t>
  </si>
  <si>
    <t xml:space="preserve">'In ERPens proposal' is Claude's reading of the ERPens scope document, not confirmed by ERPens.</t>
  </si>
  <si>
    <t xml:space="preserve">Phases follow the Strategy &amp; Phased Plan v1.1 (P0 Discovery … P5 HR/assets/after-sales).</t>
  </si>
  <si>
    <t xml:space="preserve">Sheets: Summary · Matrix (filterable) · Open Questions · Plan Changes v1.1</t>
  </si>
  <si>
    <t xml:space="preserve">Summary</t>
  </si>
  <si>
    <t xml:space="preserve">Effort assumptions (days per size)</t>
  </si>
  <si>
    <t xml:space="preserve">S</t>
  </si>
  <si>
    <t xml:space="preserve">Assumption: midpoint of size band (S ≤2, M 3–6, L 7–12 days)</t>
  </si>
  <si>
    <t xml:space="preserve">M</t>
  </si>
  <si>
    <t xml:space="preserve">L</t>
  </si>
  <si>
    <t xml:space="preserve">Requirements by category group</t>
  </si>
  <si>
    <t xml:space="preserve">Category group</t>
  </si>
  <si>
    <t xml:space="preserve">Count</t>
  </si>
  <si>
    <t xml:space="preserve">Share</t>
  </si>
  <si>
    <t xml:space="preserve">Standard</t>
  </si>
  <si>
    <t xml:space="preserve">Config</t>
  </si>
  <si>
    <t xml:space="preserve">Custom</t>
  </si>
  <si>
    <t xml:space="preserve">Integration</t>
  </si>
  <si>
    <t xml:space="preserve">External</t>
  </si>
  <si>
    <t xml:space="preserve">Open question</t>
  </si>
  <si>
    <t xml:space="preserve">Total</t>
  </si>
  <si>
    <t xml:space="preserve">Coverage vs ERPens proposal</t>
  </si>
  <si>
    <t xml:space="preserve">In ERPens proposal</t>
  </si>
  <si>
    <t xml:space="preserve">Yes</t>
  </si>
  <si>
    <t xml:space="preserve">Partly</t>
  </si>
  <si>
    <t xml:space="preserve">No</t>
  </si>
  <si>
    <t xml:space="preserve">'Yes' includes entries such as 'Yes (GST)'. Claude's reading of the ERPens scope.</t>
  </si>
  <si>
    <t xml:space="preserve">Estimated effort by primary phase (Custom + Config + Integration rows)</t>
  </si>
  <si>
    <t xml:space="preserve">Phase</t>
  </si>
  <si>
    <t xml:space="preserve">Rows</t>
  </si>
  <si>
    <t xml:space="preserve">Est. days</t>
  </si>
  <si>
    <t xml:space="preserve">P0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</si>
  <si>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</si>
  <si>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</si>
  <si>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</si>
  <si>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</si>
  <si>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</si>
  <si>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ID</t>
  </si>
  <si>
    <t xml:space="preserve">Area</t>
  </si>
  <si>
    <t xml:space="preserve">Requirement (MSCAST doc)</t>
  </si>
  <si>
    <t xml:space="preserve">Source page</t>
  </si>
  <si>
    <t xml:space="preserve">ERPNext v16 solution</t>
  </si>
  <si>
    <t xml:space="preserve">Category</t>
  </si>
  <si>
    <t xml:space="preserve">Primary phase</t>
  </si>
  <si>
    <t xml:space="preserve">Size</t>
  </si>
  <si>
    <t xml:space="preserve">Notes / open question</t>
  </si>
  <si>
    <t xml:space="preserve">Status</t>
  </si>
  <si>
    <t xml:space="preserve">S-01</t>
  </si>
  <si>
    <t xml:space="preserve">Sales</t>
  </si>
  <si>
    <t xml:space="preserve">Prepare Sales Orders from customer orders</t>
  </si>
  <si>
    <t xml:space="preserve">p2</t>
  </si>
  <si>
    <t xml:space="preserve">ERPNext Sales Order (customer PO no./date, payment terms template)</t>
  </si>
  <si>
    <t xml:space="preserve">Proposed</t>
  </si>
  <si>
    <t xml:space="preserve">S-02</t>
  </si>
  <si>
    <t xml:space="preserve">PCC sheet (Purchase Cost Calculation): cost price of each component of CCM/spares, prepared by Sales from the Sales Order</t>
  </si>
  <si>
    <t xml:space="preserve">p2, p6</t>
  </si>
  <si>
    <t xml:space="preserve">Custom 'PCC' doctype linked to Sales Order/Project: component lines (item/assembly, qty, estimated cost, make, supplier category), revisions + approval; baseline for PO control and project MIS</t>
  </si>
  <si>
    <t xml:space="preserve">Custom (no-code + script report)</t>
  </si>
  <si>
    <t xml:space="preserve">Backbone object. Need MSCAST's PCC template (Q2)</t>
  </si>
  <si>
    <t xml:space="preserve">S-03</t>
  </si>
  <si>
    <t xml:space="preserve">Order-status analysis; leads from customer enquiry or direct approach</t>
  </si>
  <si>
    <t xml:space="preserve">CRM Lead → Opportunity → Quotation; Sales Pipeline Analytics, Opportunity Summary by Sales Stage</t>
  </si>
  <si>
    <t xml:space="preserve">S-04</t>
  </si>
  <si>
    <t xml:space="preserve">Scope of work/contract and PCC handed to Engineering and Projects</t>
  </si>
  <si>
    <t xml:space="preserve">Kick-off workflow on Project; mandatory attachments (contract, scope, PCC) and notifications to Engineering/Projects</t>
  </si>
  <si>
    <t xml:space="preserve">S-05</t>
  </si>
  <si>
    <t xml:space="preserve">List of potential/probable customers for forecasting</t>
  </si>
  <si>
    <t xml:space="preserve">Leads/Opportunities with expected value and closing date; Sales Funnel/forecast report</t>
  </si>
  <si>
    <t xml:space="preserve">PR-01</t>
  </si>
  <si>
    <t xml:space="preserve">Projects</t>
  </si>
  <si>
    <t xml:space="preserve">Internal kick-off meeting; Projects receives PCC, signed tech specs, sales MOMs</t>
  </si>
  <si>
    <t xml:space="preserve">Project Template + kick-off checklist child table; attachments; Workflow 'Kick-off done'</t>
  </si>
  <si>
    <t xml:space="preserve">PR-02</t>
  </si>
  <si>
    <t xml:space="preserve">Project planning: targets for Engineering, Procurement, Despatch, Erection &amp; Commissioning</t>
  </si>
  <si>
    <t xml:space="preserve">Project tasks, milestones, dependencies, Gantt</t>
  </si>
  <si>
    <t xml:space="preserve">PR-03</t>
  </si>
  <si>
    <t xml:space="preserve">Prepare and submit Project Execution, Delivery and Billing schedules to client/consultant</t>
  </si>
  <si>
    <t xml:space="preserve">Delivery + billing schedule child tables on Project/SO; print formats for client submission</t>
  </si>
  <si>
    <t xml:space="preserve">Config + light custom</t>
  </si>
  <si>
    <t xml:space="preserve">P1/P3</t>
  </si>
  <si>
    <t xml:space="preserve">PR-04</t>
  </si>
  <si>
    <t xml:space="preserve">Periodic 'Overall Project Status/Schedule' submission to client</t>
  </si>
  <si>
    <t xml:space="preserve">Project status print format/report (drawings, procurement, inspection, dispatch status); AI track A1 can draft the narrative</t>
  </si>
  <si>
    <t xml:space="preserve">Custom (report + print)</t>
  </si>
  <si>
    <t xml:space="preserve">PR-05</t>
  </si>
  <si>
    <t xml:space="preserve">Submit invoices and follow up receivables from client</t>
  </si>
  <si>
    <t xml:space="preserve">Accounts Receivable, Payment Reminder/Dunning, Notification before due date</t>
  </si>
  <si>
    <t xml:space="preserve">PR-06</t>
  </si>
  <si>
    <t xml:space="preserve">Project completion: completeness of supplies</t>
  </si>
  <si>
    <t xml:space="preserve">p3</t>
  </si>
  <si>
    <t xml:space="preserve">Sales Order Analysis (ordered vs delivered), SO–DN tracking</t>
  </si>
  <si>
    <t xml:space="preserve">PR-07</t>
  </si>
  <si>
    <t xml:space="preserve">Additional claims discussion and settlement with client</t>
  </si>
  <si>
    <t xml:space="preserve">Custom 'Client Claim' doctype (claim, value, status, settlement) → amended SO / additional invoice</t>
  </si>
  <si>
    <t xml:space="preserve">Custom (no-code)</t>
  </si>
  <si>
    <t xml:space="preserve">How are claims billed today? (Q14)</t>
  </si>
  <si>
    <t xml:space="preserve">PR-08</t>
  </si>
  <si>
    <t xml:space="preserve">Obtain Commissioning, Preliminary and Final certificates from client</t>
  </si>
  <si>
    <t xml:space="preserve">p3, p6</t>
  </si>
  <si>
    <t xml:space="preserve">Custom 'Project Certificate' doctype (Commissioning / PAC / FAC) with date, attachment; triggers milestone billing and retention clock</t>
  </si>
  <si>
    <t xml:space="preserve">Yes (completion certificate)</t>
  </si>
  <si>
    <t xml:space="preserve">PR-09</t>
  </si>
  <si>
    <t xml:space="preserve">After final closure, hand over project info to Spares Dept for spares business</t>
  </si>
  <si>
    <t xml:space="preserve">Project closure checklist; installed-machine record (Serial No per machine/strand) + customer spares price list</t>
  </si>
  <si>
    <t xml:space="preserve">Is Spares a separate team? (Q15)</t>
  </si>
  <si>
    <t xml:space="preserve">PC-01</t>
  </si>
  <si>
    <t xml:space="preserve">Project coordination</t>
  </si>
  <si>
    <t xml:space="preserve">Check customer PO against agreed terms; forward to Finance and Procurement</t>
  </si>
  <si>
    <t xml:space="preserve">SO approval workflow with PO-vs-quotation check; notifications to Finance/Procurement</t>
  </si>
  <si>
    <t xml:space="preserve">PC-02</t>
  </si>
  <si>
    <t xml:space="preserve">Give billing and dispatch schedule to Procurement based on PCC</t>
  </si>
  <si>
    <t xml:space="preserve">Schedule child tables (PR-03) visible in Procurement workspace; report</t>
  </si>
  <si>
    <t xml:space="preserve">PC-03</t>
  </si>
  <si>
    <t xml:space="preserve">Check supplier POs against PCC requirement and commercial terms</t>
  </si>
  <si>
    <t xml:space="preserve">Validation + 'PO vs PCC' variance report (qty, rate, terms); approval required if over PCC</t>
  </si>
  <si>
    <t xml:space="preserve">Custom (script report + server script)</t>
  </si>
  <si>
    <t xml:space="preserve">Depends on S-02</t>
  </si>
  <si>
    <t xml:space="preserve">PC-04</t>
  </si>
  <si>
    <t xml:space="preserve">Issue Delivery Instruction to supplier for dispatch to customer site; arrange transport</t>
  </si>
  <si>
    <t xml:space="preserve">p3, p4, p6</t>
  </si>
  <si>
    <t xml:space="preserve">Custom 'Delivery Instruction' doctype from PO/MDM: ship-to customer site, transporter, packing, free-issue annexure; print/email</t>
  </si>
  <si>
    <t xml:space="preserve">PC-05</t>
  </si>
  <si>
    <t xml:space="preserve">Free-issue list dispatched with Delivery Instruction to sub-contractor</t>
  </si>
  <si>
    <t xml:space="preserve">Subcontracting Order 'Supplied Items' / Stock Entry 'Send to Subcontractor'; Annexure-I print</t>
  </si>
  <si>
    <t xml:space="preserve">Standard + print format</t>
  </si>
  <si>
    <t xml:space="preserve">P2/P3</t>
  </si>
  <si>
    <t xml:space="preserve">PC-06</t>
  </si>
  <si>
    <t xml:space="preserve">Receive purchase bills, check against PO and Delivery Instruction; original to Accounts, duplicate to Purchase for BRM</t>
  </si>
  <si>
    <t xml:space="preserve">P2–P3: BRM register records supplier bill no./amount against PO (Tally still books). P4: Purchase Invoice with certification workflow</t>
  </si>
  <si>
    <t xml:space="preserve">Custom (P2) → Standard + workflow (P4)</t>
  </si>
  <si>
    <t xml:space="preserve">P2/P4</t>
  </si>
  <si>
    <t xml:space="preserve">See P-08</t>
  </si>
  <si>
    <t xml:space="preserve">PC-07</t>
  </si>
  <si>
    <t xml:space="preserve">Prepare Sales Invoice, Delivery Challan and Packing List</t>
  </si>
  <si>
    <t xml:space="preserve">p3, p7</t>
  </si>
  <si>
    <t xml:space="preserve">Delivery Note (challan), Packing Slip, Sales Invoice; e-way bill via India Compliance</t>
  </si>
  <si>
    <t xml:space="preserve">P3/P4</t>
  </si>
  <si>
    <t xml:space="preserve">PC-08</t>
  </si>
  <si>
    <t xml:space="preserve">Update stock items and free-issue statement</t>
  </si>
  <si>
    <t xml:space="preserve">Stock Ledger; vendor-wise free-issue balance report</t>
  </si>
  <si>
    <t xml:space="preserve">Standard + report</t>
  </si>
  <si>
    <t xml:space="preserve">PC-09</t>
  </si>
  <si>
    <t xml:space="preserve">Update billing &amp; despatch schedule with consignor, transporter, LR no./date, invoice no./date</t>
  </si>
  <si>
    <t xml:space="preserve">Delivery Note transporter/LR/vehicle fields (India Compliance) + schedule-vs-actual report</t>
  </si>
  <si>
    <t xml:space="preserve">PC-10</t>
  </si>
  <si>
    <t xml:space="preserve">Project code allocation</t>
  </si>
  <si>
    <t xml:space="preserve">Project naming series (e.g. MSC-YY-###)</t>
  </si>
  <si>
    <t xml:space="preserve">PC-11</t>
  </si>
  <si>
    <t xml:space="preserve">Update ongoing/new and executed/closed project and Sales Order lists</t>
  </si>
  <si>
    <t xml:space="preserve">Project and Sales Order list views/reports with status filters</t>
  </si>
  <si>
    <t xml:space="preserve">PC-12</t>
  </si>
  <si>
    <t xml:space="preserve">Maintain supplier and customer information</t>
  </si>
  <si>
    <t xml:space="preserve">Customer/Supplier masters (GSTIN, PAN, MSME/Udyam fields, contacts, addresses)</t>
  </si>
  <si>
    <t xml:space="preserve">Standard + custom fields</t>
  </si>
  <si>
    <t xml:space="preserve">P0/P1</t>
  </si>
  <si>
    <t xml:space="preserve">PC-13</t>
  </si>
  <si>
    <t xml:space="preserve">New Project MIS as per given template</t>
  </si>
  <si>
    <t xml:space="preserve">Custom project MIS report per MSCAST template</t>
  </si>
  <si>
    <t xml:space="preserve">Custom (script report)</t>
  </si>
  <si>
    <t xml:space="preserve">P1/P4</t>
  </si>
  <si>
    <t xml:space="preserve">Need MIS template (Q3)</t>
  </si>
  <si>
    <t xml:space="preserve">PC-14</t>
  </si>
  <si>
    <t xml:space="preserve">Project completion accounting closure reports</t>
  </si>
  <si>
    <t xml:space="preserve">Project Profitability + custom closure report (PCC vs PO vs actual cost vs billing, retention, claims)</t>
  </si>
  <si>
    <t xml:space="preserve">PC-15</t>
  </si>
  <si>
    <t xml:space="preserve">Pending Sales Order review</t>
  </si>
  <si>
    <t xml:space="preserve">Sales Order Analysis / pending items to deliver and bill</t>
  </si>
  <si>
    <t xml:space="preserve">PC-16</t>
  </si>
  <si>
    <t xml:space="preserve">Material movement tracking</t>
  </si>
  <si>
    <t xml:space="preserve">Stock Ledger, Project-wise Stock Tracking, DI/Delivery Note status</t>
  </si>
  <si>
    <t xml:space="preserve">PC-17</t>
  </si>
  <si>
    <t xml:space="preserve">Proforma Invoice for advance/scheduled supply per SO payment terms</t>
  </si>
  <si>
    <t xml:space="preserve">'Proforma Invoice' print format on Sales Order + Payment Request; advance allocation on invoice</t>
  </si>
  <si>
    <t xml:space="preserve">Config (print format)</t>
  </si>
  <si>
    <t xml:space="preserve">PC-18</t>
  </si>
  <si>
    <t xml:space="preserve">Supplementary Invoice for retention amount</t>
  </si>
  <si>
    <t xml:space="preserve">Payment Terms Template (e.g. 90/10) + retention tracker; invoice/claim for retention portion; optional Retention Receivable account (small code)</t>
  </si>
  <si>
    <t xml:space="preserve">Yes (retention tracking)</t>
  </si>
  <si>
    <t xml:space="preserve">PC-19</t>
  </si>
  <si>
    <t xml:space="preserve">Track Sales Order vs Purchase Order vs Supply Invoice</t>
  </si>
  <si>
    <t xml:space="preserve">Custom tracker report SO ↔ PCC ↔ PO ↔ Purchase Invoice ↔ Sales Invoice</t>
  </si>
  <si>
    <t xml:space="preserve">E-01</t>
  </si>
  <si>
    <t xml:space="preserve">Engineering</t>
  </si>
  <si>
    <t xml:space="preserve">Receive PCC / division scope list</t>
  </si>
  <si>
    <t xml:space="preserve">p4</t>
  </si>
  <si>
    <t xml:space="preserve">Link on Project; notification</t>
  </si>
  <si>
    <t xml:space="preserve">E-02</t>
  </si>
  <si>
    <t xml:space="preserve">Prepare engineering programme and design/drawings</t>
  </si>
  <si>
    <t xml:space="preserve">p4, p6</t>
  </si>
  <si>
    <t xml:space="preserve">Engineering tasks on Project + Drawing Register (revisions, approvals, transmittals, Google Drive links)</t>
  </si>
  <si>
    <t xml:space="preserve">Custom (no-code + server script)</t>
  </si>
  <si>
    <t xml:space="preserve">E-03</t>
  </si>
  <si>
    <t xml:space="preserve">Prepare MDF (Material Data File / Material List) once drawings are final</t>
  </si>
  <si>
    <t xml:space="preserve">Engineering BOM per project/assembly or custom 'MDF' doctype with print; generates Material Requests</t>
  </si>
  <si>
    <t xml:space="preserve">Config + custom print</t>
  </si>
  <si>
    <t xml:space="preserve">MDF meaning now confirmed</t>
  </si>
  <si>
    <t xml:space="preserve">E-04</t>
  </si>
  <si>
    <t xml:space="preserve">Finalise extra bought-out item list</t>
  </si>
  <si>
    <t xml:space="preserve">Bought-out item groups; Material Request (Purchase) from BOM/MDF</t>
  </si>
  <si>
    <t xml:space="preserve">P1/P2</t>
  </si>
  <si>
    <t xml:space="preserve">E-05</t>
  </si>
  <si>
    <t xml:space="preserve">Send MDF and bought-out list to Procurement; follow up</t>
  </si>
  <si>
    <t xml:space="preserve">MDF submit → Material Request + notification; Procurement Tracker report</t>
  </si>
  <si>
    <t xml:space="preserve">E-06</t>
  </si>
  <si>
    <t xml:space="preserve">Capture engineering man-hours equipment-wise and project-wise</t>
  </si>
  <si>
    <t xml:space="preserve">p8</t>
  </si>
  <si>
    <t xml:space="preserve">Timesheet with custom 'Equipment' field (per project equipment list) + man-hour report by project/equipment/activity</t>
  </si>
  <si>
    <t xml:space="preserve">Config + custom field/report</t>
  </si>
  <si>
    <t xml:space="preserve">Yes (manhours)</t>
  </si>
  <si>
    <t xml:space="preserve">What defines 'equipment'? (Q17)</t>
  </si>
  <si>
    <t xml:space="preserve">P-01</t>
  </si>
  <si>
    <t xml:space="preserve">Procurement</t>
  </si>
  <si>
    <t xml:space="preserve">Receive PCC, drawings, MDF and bought-out list</t>
  </si>
  <si>
    <t xml:space="preserve">Links from Material Request to PCC/Drawing/MDF</t>
  </si>
  <si>
    <t xml:space="preserve">P-02</t>
  </si>
  <si>
    <t xml:space="preserve">Send enquiries to vendors</t>
  </si>
  <si>
    <t xml:space="preserve">Request for Quotation (email/supplier portal)</t>
  </si>
  <si>
    <t xml:space="preserve">P-03</t>
  </si>
  <si>
    <t xml:space="preserve">Techno-commercial comparison of offers and supplier selection</t>
  </si>
  <si>
    <t xml:space="preserve">Supplier Quotation Comparison (price) + custom technical scoring fields and comparison print</t>
  </si>
  <si>
    <t xml:space="preserve">Custom (light)</t>
  </si>
  <si>
    <t xml:space="preserve">P-04</t>
  </si>
  <si>
    <t xml:space="preserve">Release PO with technical specifications, price, terms and conditions</t>
  </si>
  <si>
    <t xml:space="preserve">Purchase Order + Terms &amp; Conditions templates + spec attachments/print</t>
  </si>
  <si>
    <t xml:space="preserve">P-05</t>
  </si>
  <si>
    <t xml:space="preserve">Release drawings and MDF to equipment manufacturers</t>
  </si>
  <si>
    <t xml:space="preserve">Drawing transmittal from Drawing Register (vendor, revision issued, date)</t>
  </si>
  <si>
    <t xml:space="preserve">Custom (part of E-02)</t>
  </si>
  <si>
    <t xml:space="preserve">P-06</t>
  </si>
  <si>
    <t xml:space="preserve">Arrange bought-outs and supply them to the manufacturer</t>
  </si>
  <si>
    <t xml:space="preserve">Subcontracting Order supplied items / Stock Entry to vendor</t>
  </si>
  <si>
    <t xml:space="preserve">P-07</t>
  </si>
  <si>
    <t xml:space="preserve">Supplier follow-up; coordinate inspection of equipment and bought-outs</t>
  </si>
  <si>
    <t xml:space="preserve">Quality Inspection Templates + custom Inspection Plan per PO/project</t>
  </si>
  <si>
    <t xml:space="preserve">Standard + custom</t>
  </si>
  <si>
    <t xml:space="preserve">P-08</t>
  </si>
  <si>
    <t xml:space="preserve">Release supplier payments against invoice/proforma/internal memo invoice with certification via Billing Routing Memo (BRM) to Accounts</t>
  </si>
  <si>
    <t xml:space="preserve">p4, p5, p6</t>
  </si>
  <si>
    <t xml:space="preserve">Custom 'BRM' doctype + workflow (Procurement certifies → Accounts pays); P4: Payment Entry allowed only against certified BRM</t>
  </si>
  <si>
    <t xml:space="preserve">Need BRM format &amp; approvers (Q4)</t>
  </si>
  <si>
    <t xml:space="preserve">P-09</t>
  </si>
  <si>
    <t xml:space="preserve">Track POs against PCC and update status (PCC updation)</t>
  </si>
  <si>
    <t xml:space="preserve">PO vs PCC report (see PC-03) + PCC status column</t>
  </si>
  <si>
    <t xml:space="preserve">Custom (report)</t>
  </si>
  <si>
    <t xml:space="preserve">P-10</t>
  </si>
  <si>
    <t xml:space="preserve">Collect vendor stock declaration of free-issue items project-wise; report to Projects/Accounts</t>
  </si>
  <si>
    <t xml:space="preserve">Vendor-wise, project-wise supplied-item balance report + periodic vendor confirmation</t>
  </si>
  <si>
    <t xml:space="preserve">Standard + custom S</t>
  </si>
  <si>
    <t xml:space="preserve">P-11</t>
  </si>
  <si>
    <t xml:space="preserve">Prepare Material Dispatch Memo (MDM) → Delivery Instruction to supplier</t>
  </si>
  <si>
    <t xml:space="preserve">Custom 'MDM' doctype (items, lots, packing, destination) → creates Delivery Instruction</t>
  </si>
  <si>
    <t xml:space="preserve">P-12</t>
  </si>
  <si>
    <t xml:space="preserve">Free-issue items list as Annexure-I with MDM</t>
  </si>
  <si>
    <t xml:space="preserve">Annexure-I print format from MDM/Subcontracting data</t>
  </si>
  <si>
    <t xml:space="preserve">P-13</t>
  </si>
  <si>
    <t xml:space="preserve">Performance Bank Guarantee (PBG) certification</t>
  </si>
  <si>
    <t xml:space="preserve">p6</t>
  </si>
  <si>
    <t xml:space="preserve">Bank Guarantee doctype (receiving/providing) + expiry notifications + BG register</t>
  </si>
  <si>
    <t xml:space="preserve">Standard + config</t>
  </si>
  <si>
    <t xml:space="preserve">EC-01</t>
  </si>
  <si>
    <t xml:space="preserve">Erection &amp; Commissioning</t>
  </si>
  <si>
    <t xml:space="preserve">Erection and commissioning of CCM at site</t>
  </si>
  <si>
    <t xml:space="preserve">p6, p7</t>
  </si>
  <si>
    <t xml:space="preserve">Site tasks on Project, site timesheets, Expense Claims to project, commissioning report attachment</t>
  </si>
  <si>
    <t xml:space="preserve">EC-02</t>
  </si>
  <si>
    <t xml:space="preserve">Operations flow</t>
  </si>
  <si>
    <t xml:space="preserve">Inspection → Packing → Loading → Transport → Commissioning</t>
  </si>
  <si>
    <t xml:space="preserve">p7</t>
  </si>
  <si>
    <t xml:space="preserve">Quality Inspection gate before Delivery Note; Packing Slip; e-way bill; DN transport details</t>
  </si>
  <si>
    <t xml:space="preserve">A-01</t>
  </si>
  <si>
    <t xml:space="preserve">Accounts</t>
  </si>
  <si>
    <t xml:space="preserve">Check PO and contract before giving credit to vendor</t>
  </si>
  <si>
    <t xml:space="preserve">p5</t>
  </si>
  <si>
    <t xml:space="preserve">Supplier payment terms; Purchase Invoice linked to PO; hold/approval</t>
  </si>
  <si>
    <t xml:space="preserve">A-02</t>
  </si>
  <si>
    <t xml:space="preserve">Purchase voucher entries for bought-outs and equipment with taxes, duties, freight</t>
  </si>
  <si>
    <t xml:space="preserve">p5, p6</t>
  </si>
  <si>
    <t xml:space="preserve">Purchase Invoice with tax templates; Landed Cost Voucher for freight/cargo</t>
  </si>
  <si>
    <t xml:space="preserve">Tally until 31 Mar 2027</t>
  </si>
  <si>
    <t xml:space="preserve">A-03</t>
  </si>
  <si>
    <t xml:space="preserve">Check purchase invoices against PO qty, rates, terms</t>
  </si>
  <si>
    <t xml:space="preserve">PO–PR–PI matching; over-billing allowance = 0</t>
  </si>
  <si>
    <t xml:space="preserve">A-04</t>
  </si>
  <si>
    <t xml:space="preserve">Sales entry from sales invoice raised by project coordinator</t>
  </si>
  <si>
    <t xml:space="preserve">Sales Invoice (e-invoice if applicable)</t>
  </si>
  <si>
    <t xml:space="preserve">A-05</t>
  </si>
  <si>
    <t xml:space="preserve">Project payments only after BRM from Procurement</t>
  </si>
  <si>
    <t xml:space="preserve">Payment Entry validation against certified BRM</t>
  </si>
  <si>
    <t xml:space="preserve">Custom (server script)</t>
  </si>
  <si>
    <t xml:space="preserve">Depends on P-08</t>
  </si>
  <si>
    <t xml:space="preserve">A-06</t>
  </si>
  <si>
    <t xml:space="preserve">Non-project payments: admin, utilities, credit cards, government, salary</t>
  </si>
  <si>
    <t xml:space="preserve">Payment Entry / Journal Entry; credit card as bank account</t>
  </si>
  <si>
    <t xml:space="preserve">A-07</t>
  </si>
  <si>
    <t xml:space="preserve">Petty cash payments</t>
  </si>
  <si>
    <t xml:space="preserve">Petty cash account + Mode of Payment; Employee Advance for imprest</t>
  </si>
  <si>
    <t xml:space="preserve">A-08</t>
  </si>
  <si>
    <t xml:space="preserve">Customer receipts and receipt to customer</t>
  </si>
  <si>
    <t xml:space="preserve">Payment Entry (Receive) + receipt print format</t>
  </si>
  <si>
    <t xml:space="preserve">A-09</t>
  </si>
  <si>
    <t xml:space="preserve">Cheque printing</t>
  </si>
  <si>
    <t xml:space="preserve">Cheque Print Template (bank-wise)</t>
  </si>
  <si>
    <t xml:space="preserve">A-10</t>
  </si>
  <si>
    <t xml:space="preserve">Cash receipts against travel advances and sale of old items</t>
  </si>
  <si>
    <t xml:space="preserve">Employee Advance return; asset/scrap sale invoice</t>
  </si>
  <si>
    <t xml:space="preserve">P4/P5</t>
  </si>
  <si>
    <t xml:space="preserve">A-11</t>
  </si>
  <si>
    <t xml:space="preserve">Debit/credit notes per PO terms</t>
  </si>
  <si>
    <t xml:space="preserve">Debit Note / Credit Note (returns, rate difference)</t>
  </si>
  <si>
    <t xml:space="preserve">A-12</t>
  </si>
  <si>
    <t xml:space="preserve">Journal vouchers: travel (India &amp; foreign), asset purchase, insurance, year-end, cargo agencies</t>
  </si>
  <si>
    <t xml:space="preserve">Journal Entry; multi-currency Expense Claim; Landed Cost Voucher</t>
  </si>
  <si>
    <t xml:space="preserve">A-13</t>
  </si>
  <si>
    <t xml:space="preserve">Monthly MIS reflecting monthly project costs</t>
  </si>
  <si>
    <t xml:space="preserve">Cost Centre/Project dimension P&amp;L + PCC vs actual MIS (see PC-13)</t>
  </si>
  <si>
    <t xml:space="preserve">A-14</t>
  </si>
  <si>
    <t xml:space="preserve">Monthly Balance Sheet, P&amp;L, Funds Flow / Cash Flow</t>
  </si>
  <si>
    <t xml:space="preserve">Balance Sheet, P&amp;L, Cash Flow; India Compliance Schedule III templates. No Funds Flow statement (not required under AS/Schedule III)</t>
  </si>
  <si>
    <t xml:space="preserve">Confirm Funds Flow not needed (small company may omit cash flow)</t>
  </si>
  <si>
    <t xml:space="preserve">M-01</t>
  </si>
  <si>
    <t xml:space="preserve">Management modules</t>
  </si>
  <si>
    <t xml:space="preserve">Employee management: leave, attendance, hours, salary slips</t>
  </si>
  <si>
    <t xml:space="preserve">Frappe HR (leave, attendance, shifts) + frappe/india-payroll salary slips</t>
  </si>
  <si>
    <t xml:space="preserve">M-02</t>
  </si>
  <si>
    <t xml:space="preserve">Finance Scaling Management</t>
  </si>
  <si>
    <t xml:space="preserve">Unclear requirement</t>
  </si>
  <si>
    <t xml:space="preserve">–</t>
  </si>
  <si>
    <t xml:space="preserve">Meaning? (Q1)</t>
  </si>
  <si>
    <t xml:space="preserve">M-03</t>
  </si>
  <si>
    <t xml:space="preserve">Biometric door lock/unlock (access control) integration for attendance</t>
  </si>
  <si>
    <t xml:space="preserve">Employee Checkin API + Shift Type auto-attendance; device sync agent (ZKTeco/eSSL via biometric-attendance-sync-tool on LAN, or ADMS push; Matrix COSEC needs custom connector). Door locking stays in the access-control system</t>
  </si>
  <si>
    <t xml:space="preserve">Device make/model, count, LAN or cloud (Q6)</t>
  </si>
  <si>
    <t xml:space="preserve">M-04</t>
  </si>
  <si>
    <t xml:space="preserve">Customer &amp; supplier management</t>
  </si>
  <si>
    <t xml:space="preserve">Customer/Supplier masters, portal, scorecard</t>
  </si>
  <si>
    <t xml:space="preserve">AC-01</t>
  </si>
  <si>
    <t xml:space="preserve">Accounts POV (compliance)</t>
  </si>
  <si>
    <t xml:space="preserve">Audit trail facility (MCA rule from 1 Apr 2023) with auditor login</t>
  </si>
  <si>
    <t xml:space="preserve">p10</t>
  </si>
  <si>
    <t xml:space="preserve">India Compliance audit trail (cannot be disabled once on; locks version tracking; blocks ledger deletion) enabled before first entry + custom 'Statutory Auditor' role (built-in Auditor role lacks sales, AR, stock, assets, Version) + Accounting Period freeze</t>
  </si>
  <si>
    <t xml:space="preserve">P0/P4</t>
  </si>
  <si>
    <t xml:space="preserve">AC-02</t>
  </si>
  <si>
    <t xml:space="preserve">Edit log of each transaction in ERP</t>
  </si>
  <si>
    <t xml:space="preserve">Version log on all ledger doctypes; India Compliance 'Audit Trail' report</t>
  </si>
  <si>
    <t xml:space="preserve">Partly (audit trail)</t>
  </si>
  <si>
    <t xml:space="preserve">AC-03</t>
  </si>
  <si>
    <t xml:space="preserve">Accounts POV (controls)</t>
  </si>
  <si>
    <t xml:space="preserve">Alerts for incomplete data, masters and transactions</t>
  </si>
  <si>
    <t xml:space="preserve">Notifications (conditions, days before/after) + Auto Email Reports on saved 'missing data' reports (e.g. supplier without GSTIN/PAN/MSME)</t>
  </si>
  <si>
    <t xml:space="preserve">P1→P4</t>
  </si>
  <si>
    <t xml:space="preserve">AC-04</t>
  </si>
  <si>
    <t xml:space="preserve">Emailing of all possible outputs</t>
  </si>
  <si>
    <t xml:space="preserve">Email button with PDF print format; Notification attach print; Auto Email Report</t>
  </si>
  <si>
    <t xml:space="preserve">All</t>
  </si>
  <si>
    <t xml:space="preserve">AC-05</t>
  </si>
  <si>
    <t xml:space="preserve">Daily SMS to COO/CFO: major-value transactions; revenue &amp; receipts vs purchases &amp; expenses; MIS</t>
  </si>
  <si>
    <t xml:space="preserve">SMS needs TRAI DLT registration and fixed templates (≤40 chars/variable) — poor fit for a multi-figure summary. Recommend Email Digest/Auto Email Report + WhatsApp utility template or Google Chat; short SMS alert optional</t>
  </si>
  <si>
    <t xml:space="preserve">Config + custom (small)</t>
  </si>
  <si>
    <t xml:space="preserve">P2 (value alerts) / P4 (summary)</t>
  </si>
  <si>
    <t xml:space="preserve">Channel choice (Q7, D7)</t>
  </si>
  <si>
    <t xml:space="preserve">AC-06</t>
  </si>
  <si>
    <t xml:space="preserve">Accounts POV (Companies Act s.128)</t>
  </si>
  <si>
    <t xml:space="preserve">Books in electronic mode; director inspection; 8-year retention; 'ERP provider undertaking that software runs 8 years'</t>
  </si>
  <si>
    <t xml:space="preserve">p11</t>
  </si>
  <si>
    <t xml:space="preserve">Frappe Cloud Mumbai or India VPS with daily India backups (Rule 3(5)); read-only Director role; GPL software cannot be withdrawn; yearly archive dumps + year-end PDF/XLSX exports kept ≥8 years; IT policy</t>
  </si>
  <si>
    <t xml:space="preserve">Config + policy</t>
  </si>
  <si>
    <t xml:space="preserve">Accept archival policy instead of vendor undertaking? (Q13)</t>
  </si>
  <si>
    <t xml:space="preserve">AC-07</t>
  </si>
  <si>
    <t xml:space="preserve">Accounts POV (standards)</t>
  </si>
  <si>
    <t xml:space="preserve">Indian Accounting Standards list (share-based payments, fair value, segments, EPS, etc.)</t>
  </si>
  <si>
    <t xml:space="preserve">p12</t>
  </si>
  <si>
    <t xml:space="preserve">MSCAST likely follows Companies (AS) Rules 2021 as an SMC; Ind AS applies only at net worth ≥ ₹250 Cr. ERP provides ledgers/registers; notes to accounts prepared by CA</t>
  </si>
  <si>
    <t xml:space="preserve">External (CA)</t>
  </si>
  <si>
    <t xml:space="preserve">CA to confirm (Q10)</t>
  </si>
  <si>
    <t xml:space="preserve">AC-08</t>
  </si>
  <si>
    <t xml:space="preserve">Accounts POV (equity &amp; liabilities)</t>
  </si>
  <si>
    <t xml:space="preserve">Share capital: authorised, issued; reconciliation of shares; &gt;5% shareholders; rights</t>
  </si>
  <si>
    <t xml:space="preserve">p13</t>
  </si>
  <si>
    <t xml:space="preserve">Share capital accounts; ERPNext Shareholder/Share Transfer records (verify) or statutory register kept by CS</t>
  </si>
  <si>
    <t xml:space="preserve">Config / External</t>
  </si>
  <si>
    <t xml:space="preserve">AC-09</t>
  </si>
  <si>
    <t xml:space="preserve">Reserves &amp; surplus; borrowings; lease liabilities</t>
  </si>
  <si>
    <t xml:space="preserve">Chart of accounts (Schedule III grouping); lease entries by JV</t>
  </si>
  <si>
    <t xml:space="preserve">AC-10</t>
  </si>
  <si>
    <t xml:space="preserve">Trade payables split: micro &amp; small enterprises vs others</t>
  </si>
  <si>
    <t xml:space="preserve">Custom Supplier fields (Udyam no., Micro/Small/Medium) + 45-day dues report (MSME Form I, Schedule III, s.43B(h))</t>
  </si>
  <si>
    <t xml:space="preserve">Custom (fields + script report)</t>
  </si>
  <si>
    <t xml:space="preserve">P2 (fields) / P4 (report)</t>
  </si>
  <si>
    <t xml:space="preserve">AC-11</t>
  </si>
  <si>
    <t xml:space="preserve">Provisions: gratuity, actuarial valuation &amp; entries, gratuity paid; income tax; deferred tax</t>
  </si>
  <si>
    <t xml:space="preserve">Frappe HR Gratuity (payouts); liability valuation external (SMC &lt;50 staff may use rational method) → JV; tax &amp; deferred tax by JV</t>
  </si>
  <si>
    <t xml:space="preserve">Standard + External</t>
  </si>
  <si>
    <t xml:space="preserve">P5 (gratuity) / P4</t>
  </si>
  <si>
    <t xml:space="preserve">AC-12</t>
  </si>
  <si>
    <t xml:space="preserve">Accounts POV (assets)</t>
  </si>
  <si>
    <t xml:space="preserve">Fixed asset register: additions with date put to use, asset ID, deletions/sales, depreciation cumulative &amp; for period, discarded listing</t>
  </si>
  <si>
    <t xml:space="preserve">p14</t>
  </si>
  <si>
    <t xml:space="preserve">Asset (available-for-use date), depreciation schedules, two Finance Books (Companies Act / Income Tax), disposal/scrap; Fixed Asset Register &amp; Asset Depreciations and Balances reports. IT-Act block pooling in working sheet</t>
  </si>
  <si>
    <t xml:space="preserve">AC-13</t>
  </si>
  <si>
    <t xml:space="preserve">Identification of own assets vs Tata Motors' assets</t>
  </si>
  <si>
    <t xml:space="preserve">Not capitalised: separate register (custom doctype) or Customer Provided Items in zero-value warehouse</t>
  </si>
  <si>
    <t xml:space="preserve">Custom (small)</t>
  </si>
  <si>
    <t xml:space="preserve">What are Tata Motors assets? (Q8)</t>
  </si>
  <si>
    <t xml:space="preserve">AC-14</t>
  </si>
  <si>
    <t xml:space="preserve">Intangible assets: software, life, amortisation, under development</t>
  </si>
  <si>
    <t xml:space="preserve">Intangible Asset Category with SLM amortisation; CWIP for under-development</t>
  </si>
  <si>
    <t xml:space="preserve">AC-15</t>
  </si>
  <si>
    <t xml:space="preserve">Capital work-in-progress list with completion status; asset purchase invoices</t>
  </si>
  <si>
    <t xml:space="preserve">CWIP accounting on Asset Category + Asset Capitalization; custom status field</t>
  </si>
  <si>
    <t xml:space="preserve">AC-16</t>
  </si>
  <si>
    <t xml:space="preserve">Accounts POV (inventory)</t>
  </si>
  <si>
    <t xml:space="preserve">Closing stock register category-wise and item-wise (RM, WIP, FG, stores &amp; spares, consumables); quantitative opening/purchases/sales/closing</t>
  </si>
  <si>
    <t xml:space="preserve">Stock Balance by item group/warehouse (opening, in, out, closing qty &amp; value)</t>
  </si>
  <si>
    <t xml:space="preserve">AC-17</t>
  </si>
  <si>
    <t xml:space="preserve">Working of valuation of semi-finished inventory (WIP)</t>
  </si>
  <si>
    <t xml:space="preserve">No project-WIP accounting in ERPNext: choose (a) Work Order + WIP warehouse, or (b) Project WIP account + JV on sale</t>
  </si>
  <si>
    <t xml:space="preserve">Custom / design decision</t>
  </si>
  <si>
    <t xml:space="preserve">P3 (design) / P4</t>
  </si>
  <si>
    <t xml:space="preserve">Current Tally method (Q11), D6</t>
  </si>
  <si>
    <t xml:space="preserve">AC-18</t>
  </si>
  <si>
    <t xml:space="preserve">GST on closing inventory</t>
  </si>
  <si>
    <t xml:space="preserve">Not a regular GST concept (ITC reversal only on cancellation); clarify</t>
  </si>
  <si>
    <t xml:space="preserve">Meaning? (Q9)</t>
  </si>
  <si>
    <t xml:space="preserve">AC-19</t>
  </si>
  <si>
    <t xml:space="preserve">Accounts POV (sales)</t>
  </si>
  <si>
    <t xml:space="preserve">Sales reconciliation incl. with GSTR-1; rate difference working; rejections</t>
  </si>
  <si>
    <t xml:space="preserve">p15</t>
  </si>
  <si>
    <t xml:space="preserve">India Compliance GSTR-1 (Books vs Filed, Reconcile tab); credit/debit notes; sales returns</t>
  </si>
  <si>
    <t xml:space="preserve">Yes (GST)</t>
  </si>
  <si>
    <t xml:space="preserve">AC-20</t>
  </si>
  <si>
    <t xml:space="preserve">Accounts POV (purchase)</t>
  </si>
  <si>
    <t xml:space="preserve">Purchase reconciliation (RM, components, consumables, labour) with GSTR; rejections</t>
  </si>
  <si>
    <t xml:space="preserve">India Compliance Purchase Reconciliation Tool (GSTR-2A/2B — doc says GSTR-1, should be 2B); purchase returns</t>
  </si>
  <si>
    <t xml:space="preserve">AC-21</t>
  </si>
  <si>
    <t xml:space="preserve">Accounts POV (expenses)</t>
  </si>
  <si>
    <t xml:space="preserve">Expenses: monthly volume, last-year comparison, ratio to sales</t>
  </si>
  <si>
    <t xml:space="preserve">P&amp;L Growth View (vs prior year) and Margin View (% of income)</t>
  </si>
  <si>
    <t xml:space="preserve">AC-22</t>
  </si>
  <si>
    <t xml:space="preserve">TDS deduction on expenses</t>
  </si>
  <si>
    <t xml:space="preserve">Tax Withholding Categories (194C/194J etc.)</t>
  </si>
  <si>
    <t xml:space="preserve">AC-23</t>
  </si>
  <si>
    <t xml:space="preserve">Accounts POV (payroll)</t>
  </si>
  <si>
    <t xml:space="preserve">Monthly payroll matching all deductions: PF, ESI, PT, TDS</t>
  </si>
  <si>
    <t xml:space="preserve">Salary Register + PF/ESI/PT/TDS registers (HRMS + india-payroll). Fix: v16 Maharashtra PT women exemption bug (₹10k vs ₹25k) before go-live</t>
  </si>
  <si>
    <t xml:space="preserve">Standard (+ bug check)</t>
  </si>
  <si>
    <t xml:space="preserve">AC-24</t>
  </si>
  <si>
    <t xml:space="preserve">Prior period expenses; fines &amp; penalties under any law</t>
  </si>
  <si>
    <t xml:space="preserve">Separate GL accounts + JV tagging</t>
  </si>
  <si>
    <t xml:space="preserve">AC-25</t>
  </si>
  <si>
    <t xml:space="preserve">Warranty claims</t>
  </si>
  <si>
    <t xml:space="preserve">Warranty Claim + Maintenance Visit (Support); warranty provision account</t>
  </si>
  <si>
    <t xml:space="preserve">#</t>
  </si>
  <si>
    <t xml:space="preserve">Topic</t>
  </si>
  <si>
    <t xml:space="preserve">Question for MSCAST / CA</t>
  </si>
  <si>
    <t xml:space="preserve">Related IDs</t>
  </si>
  <si>
    <t xml:space="preserve">Needed by</t>
  </si>
  <si>
    <t xml:space="preserve">Answer</t>
  </si>
  <si>
    <t xml:space="preserve">Owner</t>
  </si>
  <si>
    <t xml:space="preserve">Q1</t>
  </si>
  <si>
    <t xml:space="preserve">What exactly is meant (budgets, cash-flow forecasting, multi-entity growth, credit limits)?</t>
  </si>
  <si>
    <t xml:space="preserve">Q2</t>
  </si>
  <si>
    <t xml:space="preserve">PCC</t>
  </si>
  <si>
    <t xml:space="preserve">Share the current PCC template, who prepares/approves it, how often it is revised, and whether it is at component or assembly level.</t>
  </si>
  <si>
    <t xml:space="preserve">S-02, PC-03, P-09</t>
  </si>
  <si>
    <t xml:space="preserve">Q3</t>
  </si>
  <si>
    <t xml:space="preserve">Project MIS</t>
  </si>
  <si>
    <t xml:space="preserve">Share the 'New Project MIS' template and the monthly project cost MIS format.</t>
  </si>
  <si>
    <t xml:space="preserve">PC-13, A-13</t>
  </si>
  <si>
    <t xml:space="preserve">Q4</t>
  </si>
  <si>
    <t xml:space="preserve">BRM</t>
  </si>
  <si>
    <t xml:space="preserve">Share the Billing Routing Memo format, approvers and payment release rules (advance/proforma/internal memo).</t>
  </si>
  <si>
    <t xml:space="preserve">P-08, A-05</t>
  </si>
  <si>
    <t xml:space="preserve">Q5</t>
  </si>
  <si>
    <t xml:space="preserve">MDM / DI / Annexure-I</t>
  </si>
  <si>
    <t xml:space="preserve">Share sample Material Dispatch Memo, Delivery Instruction and Annexure-I.</t>
  </si>
  <si>
    <t xml:space="preserve">P-11, PC-04, P-12</t>
  </si>
  <si>
    <t xml:space="preserve">Q6</t>
  </si>
  <si>
    <t xml:space="preserve">Biometric access control</t>
  </si>
  <si>
    <t xml:space="preserve">Device make/model and count; network (LAN/cloud); should ERP only read punches or also control door lock/unlock?</t>
  </si>
  <si>
    <t xml:space="preserve">Q7</t>
  </si>
  <si>
    <t xml:space="preserve">Daily SMS</t>
  </si>
  <si>
    <t xml:space="preserve">Recipients; is WhatsApp/Google Chat/email acceptable instead of SMS? Is DLT registration already done?</t>
  </si>
  <si>
    <t xml:space="preserve">Q8</t>
  </si>
  <si>
    <t xml:space="preserve">Tata Motors assets</t>
  </si>
  <si>
    <t xml:space="preserve">What are these assets (customer-owned tooling/equipment at MSCAST, leased items)? How are they recorded today?</t>
  </si>
  <si>
    <t xml:space="preserve">Q9</t>
  </si>
  <si>
    <t xml:space="preserve">What report/working is expected?</t>
  </si>
  <si>
    <t xml:space="preserve">Q10</t>
  </si>
  <si>
    <t xml:space="preserve">Accounting standards</t>
  </si>
  <si>
    <t xml:space="preserve">CA to confirm AS (Companies (AS) Rules 2021) vs Ind AS and SMC/small-company status; cash flow statement needed?</t>
  </si>
  <si>
    <t xml:space="preserve">AC-07, A-14</t>
  </si>
  <si>
    <t xml:space="preserve">Q11</t>
  </si>
  <si>
    <t xml:space="preserve">WIP valuation</t>
  </si>
  <si>
    <t xml:space="preserve">How is semi-finished/project WIP valued in Tally today (per project cost sheet, % completion)?</t>
  </si>
  <si>
    <t xml:space="preserve">Q12</t>
  </si>
  <si>
    <t xml:space="preserve">Payroll</t>
  </si>
  <si>
    <t xml:space="preserve">Headcount under PF/ESI; current payroll provider; gratuity valuation method.</t>
  </si>
  <si>
    <t xml:space="preserve">M-01, AC-23, AC-11</t>
  </si>
  <si>
    <t xml:space="preserve">Q13</t>
  </si>
  <si>
    <t xml:space="preserve">8-year undertaking</t>
  </si>
  <si>
    <t xml:space="preserve">Is an open-source + archival/backup policy acceptable in place of a vendor undertaking?</t>
  </si>
  <si>
    <t xml:space="preserve">Q14</t>
  </si>
  <si>
    <t xml:space="preserve">Additional claims</t>
  </si>
  <si>
    <t xml:space="preserve">How are claims agreed and billed (amendment to SO, separate invoice, credit note)?</t>
  </si>
  <si>
    <t xml:space="preserve">Q15</t>
  </si>
  <si>
    <t xml:space="preserve">Spares Dept</t>
  </si>
  <si>
    <t xml:space="preserve">Separate team? Spares from stock or order-based? Price lists?</t>
  </si>
  <si>
    <t xml:space="preserve">Q16</t>
  </si>
  <si>
    <t xml:space="preserve">Foreign travel / exports</t>
  </si>
  <si>
    <t xml:space="preserve">Frequency, currencies, export orders?</t>
  </si>
  <si>
    <t xml:space="preserve">Q17</t>
  </si>
  <si>
    <t xml:space="preserve">Equipment-wise man-hours</t>
  </si>
  <si>
    <t xml:space="preserve">Which list defines 'equipment' (CCM sub-assemblies such as ladle turret, tundish, mould, WSU)?</t>
  </si>
  <si>
    <t xml:space="preserve">Q18</t>
  </si>
  <si>
    <t xml:space="preserve">Flowchart order</t>
  </si>
  <si>
    <t xml:space="preserve">Flowchart shows 'Mscast PO Release' before 'Designing' — are long-lead bought-outs ordered before design is complete?</t>
  </si>
  <si>
    <t xml:space="preserve">E-04, P-04</t>
  </si>
  <si>
    <t xml:space="preserve">Q19</t>
  </si>
  <si>
    <t xml:space="preserve">Share register</t>
  </si>
  <si>
    <t xml:space="preserve">Keep shareholder/share transfer records in ERP, or with the company secretary?</t>
  </si>
  <si>
    <t xml:space="preserve">Yellow cells: fill in answers during the discovery workshop.</t>
  </si>
  <si>
    <t xml:space="preserve">Change</t>
  </si>
  <si>
    <t xml:space="preserve">Reason (requirement IDs)</t>
  </si>
  <si>
    <t xml:space="preserve">Impact</t>
  </si>
  <si>
    <t xml:space="preserve">'MDF' resolved: Material Data File / material list prepared by Engineering after drawings are final. Modelled as Engineering BOM/MDF that generates Material Requests.</t>
  </si>
  <si>
    <t xml:space="preserve">Removes open question; no scope change</t>
  </si>
  <si>
    <t xml:space="preserve">New backbone object: PCC (Purchase Cost Calculation) sheet per Sales Order/Project, with revisions; POs checked against it; project MIS compares PCC vs actual.</t>
  </si>
  <si>
    <t xml:space="preserve">S-02, PC-03, P-09, PC-13, A-13</t>
  </si>
  <si>
    <t xml:space="preserve">+L custom item in P1; +M report in P2; drives MIS in P4</t>
  </si>
  <si>
    <t xml:space="preserve">New: Billing Routing Memo (BRM) — Procurement certifies supplier bills before Accounts pays. Register in P2 (Tally still books), gates Payment Entry from P4.</t>
  </si>
  <si>
    <t xml:space="preserve">P-08, PC-06, A-05</t>
  </si>
  <si>
    <t xml:space="preserve">+M custom in P2, +S validation in P4</t>
  </si>
  <si>
    <t xml:space="preserve">Delivery Instruction + Material Dispatch Memo + Annexure-I confirmed: suppliers ship direct to customer site on MSCAST instruction.</t>
  </si>
  <si>
    <t xml:space="preserve">PC-04, P-11, P-12</t>
  </si>
  <si>
    <t xml:space="preserve">Already in backlog; formats needed from MSCAST</t>
  </si>
  <si>
    <t xml:space="preserve">Added: additional client claims, Commissioning/Preliminary/Final certificates, Proforma invoice, retention supplementary invoice, SO↔PO↔invoice tracker.</t>
  </si>
  <si>
    <t xml:space="preserve">PR-07, PR-08, PC-17, PC-18, PC-19</t>
  </si>
  <si>
    <t xml:space="preserve">+S/M items in P3/P4</t>
  </si>
  <si>
    <t xml:space="preserve">Audit trail (India Compliance) switched on at site creation in P0, before any entry; custom Statutory Auditor role and read-only Director role.</t>
  </si>
  <si>
    <t xml:space="preserve">AC-01, AC-02, AC-06</t>
  </si>
  <si>
    <t xml:space="preserve">Config in P0; auditor role finalised in P4</t>
  </si>
  <si>
    <t xml:space="preserve">Data residency: Companies (Accounts) Rules require daily backups on servers in India — confirms Frappe Cloud Mumbai / India VPS; no foreign hosting. 8-year archival policy replaces 'vendor undertaking'.</t>
  </si>
  <si>
    <t xml:space="preserve">Strengthens decision D1; adds archival SOP</t>
  </si>
  <si>
    <t xml:space="preserve">Supplier MSME/Udyam fields captured from master-data load (P0/P2); 45-day MSME dues report (Form I, Schedule III, s.43B(h)) in P4.</t>
  </si>
  <si>
    <t xml:space="preserve">+M custom report</t>
  </si>
  <si>
    <t xml:space="preserve">Payroll with PF, ESI, PT and TDS is in scope (not optional). Decision D3 changed: india-payroll in P5 with two parallel payroll cycles; verify Maharashtra PT women-exemption fix is in v16 before go-live.</t>
  </si>
  <si>
    <t xml:space="preserve">M-01, AC-23</t>
  </si>
  <si>
    <t xml:space="preserve">P5 extended; bug check added to G5</t>
  </si>
  <si>
    <t xml:space="preserve">Biometric access-control integration added to P5 (ERP reads punches; door locking stays in the access system). Depends on device make/model.</t>
  </si>
  <si>
    <t xml:space="preserve">+M integration; may need small LAN sync agent</t>
  </si>
  <si>
    <t xml:space="preserve">Daily SMS to COO/CFO: recommend Email Digest + WhatsApp/Google Chat summary; SMS only as short DLT-template alert (new decision D7). Value alerts from P2, financial summary from P4.</t>
  </si>
  <si>
    <t xml:space="preserve">+M; channel decision needed</t>
  </si>
  <si>
    <t xml:space="preserve">New decision D6: project WIP valuation method (Work Order + WIP warehouse vs Project WIP account + JV), agreed with CA by gate G2 because it affects warehouse/account setup.</t>
  </si>
  <si>
    <t xml:space="preserve">Design task in P2/P3</t>
  </si>
  <si>
    <t xml:space="preserve">Fixed assets moved from P5 to P4 so the asset register (two finance books, CWIP, intangibles) is loaded with the 1 Apr 2027 opening balances.</t>
  </si>
  <si>
    <t xml:space="preserve">AC-12, AC-14, AC-15</t>
  </si>
  <si>
    <t xml:space="preserve">P4 heavier; P5 lighter</t>
  </si>
  <si>
    <t xml:space="preserve">Accounting standards: document lists Ind AS topics; MSCAST most likely reports under Companies (AS) Rules 2021 as an SMC. Notes to accounts stay with the CA. India Compliance Schedule III templates used for BS/P&amp;L.</t>
  </si>
  <si>
    <t xml:space="preserve">Clarify with CA in P0</t>
  </si>
  <si>
    <t xml:space="preserve">Engineering man-hours captured equipment-wise as well as project-wise (custom Equipment field on timesheets).</t>
  </si>
  <si>
    <t xml:space="preserve">+S in P1</t>
  </si>
  <si>
    <t xml:space="preserve">Timeline extended by ~5 weeks: P1 7 wks, P2 8 wks, P4 to end-May 2027, P5 Jun–Jul 2027 (payroll parallel runs). Custom/config build ≈28 person-weeks (Summary sheet) plus standard setup, migration, training and UAT: ≈35–45 person-weeks in total.</t>
  </si>
  <si>
    <t xml:space="preserve">See Summary sheet for effort by phase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</si>
</sst>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</cols>
  <sheetData>
    <row r="1" customFormat="false" ht="17.35" hidden="false" customHeight="false" outlineLevel="0" collapsed="false">
      <c r="A1" s="1" t="s">
        <v>11</v>
      </c>
    </row>
    <row r="3" customFormat="false" ht="15" hidden="false" customHeight="false" outlineLevel="0" collapsed="false">
      <c r="A3" s="3" t="s">
        <v>12</v>
      </c>
    </row>
    <row r="4" customFormat="false" ht="15" hidden="false" customHeight="false" outlineLevel="0" collapsed="false">
      <c r="A4" s="2" t="s">
        <v>13</v>
      </c>
      <c r="B4" s="4" t="n">
        <v>1.5</v>
      </c>
      <c r="C4" s="5" t="s">
        <v>14</v>
      </c>
    </row>
    <row r="5" customFormat="false" ht="15" hidden="false" customHeight="false" outlineLevel="0" collapsed="false">
      <c r="A5" s="2" t="s">
        <v>15</v>
      </c>
      <c r="B5" s="4" t="n">
        <v>4.5</v>
      </c>
    </row>
    <row r="6" customFormat="false" ht="15" hidden="false" customHeight="false" outlineLevel="0" collapsed="false">
      <c r="A6" s="2" t="s">
        <v>16</v>
      </c>
      <c r="B6" s="4" t="n">
        <v>9.5</v>
      </c>
    </row>
    <row r="8" customFormat="false" ht="15" hidden="false" customHeight="false" outlineLevel="0" collapsed="false">
      <c r="A8" s="3" t="s">
        <v>17</v>
      </c>
    </row>
    <row r="9" customFormat="false" ht="15" hidden="false" customHeight="false" outlineLevel="0" collapsed="false">
      <c r="A9" s="6" t="s">
        <v>18</v>
      </c>
      <c r="B9" s="6" t="s">
        <v>19</v>
      </c>
      <c r="C9" s="6" t="s">
        <v>20</v>
      </c>
    </row>
    <row r="10" customFormat="false" ht="15" hidden="false" customHeight="false" outlineLevel="0" collapsed="false">
      <c r="A10" s="2" t="s">
        <v>21</v>
      </c>
      <c r="B10" s="2" t="n">
        <f aca="false">COUNTIF(Matrix!$G$2:$G$98,A10)</f>
        <v>48</v>
      </c>
      <c r="C10" s="7" t="n">
        <f aca="false">IF($B$16=0,0,B10/$B$16)</f>
        <v>0.494845360824742</v>
      </c>
    </row>
    <row r="11" customFormat="false" ht="15" hidden="false" customHeight="false" outlineLevel="0" collapsed="false">
      <c r="A11" s="2" t="s">
        <v>22</v>
      </c>
      <c r="B11" s="2" t="n">
        <f aca="false">COUNTIF(Matrix!$G$2:$G$98,A11)</f>
        <v>23</v>
      </c>
      <c r="C11" s="7" t="n">
        <f aca="false">IF($B$16=0,0,B11/$B$16)</f>
        <v>0.237113402061856</v>
      </c>
    </row>
    <row r="12" customFormat="false" ht="15" hidden="false" customHeight="false" outlineLevel="0" collapsed="false">
      <c r="A12" s="2" t="s">
        <v>23</v>
      </c>
      <c r="B12" s="2" t="n">
        <f aca="false">COUNTIF(Matrix!$G$2:$G$98,A12)</f>
        <v>22</v>
      </c>
      <c r="C12" s="7" t="n">
        <f aca="false">IF($B$16=0,0,B12/$B$16)</f>
        <v>0.22680412371134</v>
      </c>
    </row>
    <row r="13" customFormat="false" ht="15" hidden="false" customHeight="false" outlineLevel="0" collapsed="false">
      <c r="A13" s="2" t="s">
        <v>24</v>
      </c>
      <c r="B13" s="2" t="n">
        <f aca="false">COUNTIF(Matrix!$G$2:$G$98,A13)</f>
        <v>1</v>
      </c>
      <c r="C13" s="7" t="n">
        <f aca="false">IF($B$16=0,0,B13/$B$16)</f>
        <v>0.0103092783505155</v>
      </c>
    </row>
    <row r="14" customFormat="false" ht="15" hidden="false" customHeight="false" outlineLevel="0" collapsed="false">
      <c r="A14" s="2" t="s">
        <v>25</v>
      </c>
      <c r="B14" s="2" t="n">
        <f aca="false">COUNTIF(Matrix!$G$2:$G$98,A14)</f>
        <v>1</v>
      </c>
      <c r="C14" s="7" t="n">
        <f aca="false">IF($B$16=0,0,B14/$B$16)</f>
        <v>0.0103092783505155</v>
      </c>
    </row>
    <row r="15" customFormat="false" ht="15" hidden="false" customHeight="false" outlineLevel="0" collapsed="false">
      <c r="A15" s="2" t="s">
        <v>26</v>
      </c>
      <c r="B15" s="2" t="n">
        <f aca="false">COUNTIF(Matrix!$G$2:$G$98,A15)</f>
        <v>2</v>
      </c>
      <c r="C15" s="7" t="n">
        <f aca="false">IF($B$16=0,0,B15/$B$16)</f>
        <v>0.0206185567010309</v>
      </c>
    </row>
    <row r="16" customFormat="false" ht="15" hidden="false" customHeight="false" outlineLevel="0" collapsed="false">
      <c r="A16" s="3" t="s">
        <v>27</v>
      </c>
      <c r="B16" s="3" t="n">
        <f aca="false">SUM(B10:B15)</f>
        <v>97</v>
      </c>
    </row>
    <row r="18" customFormat="false" ht="15" hidden="false" customHeight="false" outlineLevel="0" collapsed="false">
      <c r="A18" s="3" t="s">
        <v>28</v>
      </c>
    </row>
    <row r="19" customFormat="false" ht="15" hidden="false" customHeight="false" outlineLevel="0" collapsed="false">
      <c r="A19" s="6" t="s">
        <v>29</v>
      </c>
      <c r="B19" s="6" t="s">
        <v>19</v>
      </c>
    </row>
    <row r="20" customFormat="false" ht="15" hidden="false" customHeight="false" outlineLevel="0" collapsed="false">
      <c r="A20" s="2" t="s">
        <v>30</v>
      </c>
      <c r="B20" s="2" t="n">
        <f aca="false">COUNTIF(Matrix!$K$2:$K$98,"Yes*")</f>
        <v>48</v>
      </c>
    </row>
    <row r="21" customFormat="false" ht="15" hidden="false" customHeight="false" outlineLevel="0" collapsed="false">
      <c r="A21" s="2" t="s">
        <v>31</v>
      </c>
      <c r="B21" s="2" t="n">
        <f aca="false">COUNTIF(Matrix!$K$2:$K$98,"Partly*")</f>
        <v>18</v>
      </c>
    </row>
    <row r="22" customFormat="false" ht="15" hidden="false" customHeight="false" outlineLevel="0" collapsed="false">
      <c r="A22" s="2" t="s">
        <v>32</v>
      </c>
      <c r="B22" s="2" t="n">
        <f aca="false">COUNTIF(Matrix!$K$2:$K$98,"No*")</f>
        <v>31</v>
      </c>
    </row>
    <row r="23" customFormat="false" ht="15" hidden="false" customHeight="false" outlineLevel="0" collapsed="false">
      <c r="A23" s="5" t="s">
        <v>33</v>
      </c>
    </row>
    <row r="25" customFormat="false" ht="15" hidden="false" customHeight="false" outlineLevel="0" collapsed="false">
      <c r="A25" s="3" t="s">
        <v>34</v>
      </c>
    </row>
    <row r="26" customFormat="false" ht="15" hidden="false" customHeight="false" outlineLevel="0" collapsed="false">
      <c r="A26" s="6" t="s">
        <v>35</v>
      </c>
      <c r="B26" s="6" t="s">
        <v>36</v>
      </c>
      <c r="C26" s="6" t="s">
        <v>37</v>
      </c>
    </row>
    <row r="27" customFormat="false" ht="15" hidden="false" customHeight="false" outlineLevel="0" collapsed="false">
      <c r="A27" s="2" t="s">
        <v>38</v>
      </c>
      <c r="B27" s="2" t="n">
        <f aca="false">COUNTIFS(Matrix!$I$2:$I$98,A27,Matrix!$G$2:$G$98,"&lt;&gt;Standard")</f>
        <v>6</v>
      </c>
      <c r="C27" s="8" t="n">
        <f aca="false">COUNTIFS(Matrix!$I$2:$I$98,A27,Matrix!$J$2:$J$98,"S",Matrix!$G$2:$G$98,"Custom")*$B$4+COUNTIFS(Matrix!$I$2:$I$98,A27,Matrix!$J$2:$J$98,"S",Matrix!$G$2:$G$98,"Config")*$B$4+COUNTIFS(Matrix!$I$2:$I$98,A27,Matrix!$J$2:$J$98,"S",Matrix!$G$2:$G$98,"Integration")*$B$4+COUNTIFS(Matrix!$I$2:$I$98,A27,Matrix!$J$2:$J$98,"M",Matrix!$G$2:$G$98,"Custom")*$B$5+COUNTIFS(Matrix!$I$2:$I$98,A27,Matrix!$J$2:$J$98,"M",Matrix!$G$2:$G$98,"Config")*$B$5+COUNTIFS(Matrix!$I$2:$I$98,A27,Matrix!$J$2:$J$98,"M",Matrix!$G$2:$G$98,"Integration")*$B$5+COUNTIFS(Matrix!$I$2:$I$98,A27,Matrix!$J$2:$J$98,"L",Matrix!$G$2:$G$98,"Custom")*$B$6+COUNTIFS(Matrix!$I$2:$I$98,A27,Matrix!$J$2:$J$98,"L",Matrix!$G$2:$G$98,"Config")*$B$6+COUNTIFS(Matrix!$I$2:$I$98,A27,Matrix!$J$2:$J$98,"L",Matrix!$G$2:$G$98,"Integration")*$B$6</f>
        <v>4.5</v>
      </c>
    </row>
    <row r="28" customFormat="false" ht="15" hidden="false" customHeight="false" outlineLevel="0" collapsed="false">
      <c r="A28" s="2" t="s">
        <v>39</v>
      </c>
      <c r="B28" s="2" t="n">
        <f aca="false">COUNTIFS(Matrix!$I$2:$I$98,A28,Matrix!$G$2:$G$98,"&lt;&gt;Standard")</f>
        <v>12</v>
      </c>
      <c r="C28" s="8" t="n">
        <f aca="false">COUNTIFS(Matrix!$I$2:$I$98,A28,Matrix!$J$2:$J$98,"S",Matrix!$G$2:$G$98,"Custom")*$B$4+COUNTIFS(Matrix!$I$2:$I$98,A28,Matrix!$J$2:$J$98,"S",Matrix!$G$2:$G$98,"Config")*$B$4+COUNTIFS(Matrix!$I$2:$I$98,A28,Matrix!$J$2:$J$98,"S",Matrix!$G$2:$G$98,"Integration")*$B$4+COUNTIFS(Matrix!$I$2:$I$98,A28,Matrix!$J$2:$J$98,"M",Matrix!$G$2:$G$98,"Custom")*$B$5+COUNTIFS(Matrix!$I$2:$I$98,A28,Matrix!$J$2:$J$98,"M",Matrix!$G$2:$G$98,"Config")*$B$5+COUNTIFS(Matrix!$I$2:$I$98,A28,Matrix!$J$2:$J$98,"M",Matrix!$G$2:$G$98,"Integration")*$B$5+COUNTIFS(Matrix!$I$2:$I$98,A28,Matrix!$J$2:$J$98,"L",Matrix!$G$2:$G$98,"Custom")*$B$6+COUNTIFS(Matrix!$I$2:$I$98,A28,Matrix!$J$2:$J$98,"L",Matrix!$G$2:$G$98,"Config")*$B$6+COUNTIFS(Matrix!$I$2:$I$98,A28,Matrix!$J$2:$J$98,"L",Matrix!$G$2:$G$98,"Integration")*$B$6</f>
        <v>46</v>
      </c>
    </row>
    <row r="29" customFormat="false" ht="15" hidden="false" customHeight="false" outlineLevel="0" collapsed="false">
      <c r="A29" s="2" t="s">
        <v>40</v>
      </c>
      <c r="B29" s="2" t="n">
        <f aca="false">COUNTIFS(Matrix!$I$2:$I$98,A29,Matrix!$G$2:$G$98,"&lt;&gt;Standard")</f>
        <v>11</v>
      </c>
      <c r="C29" s="8" t="n">
        <f aca="false">COUNTIFS(Matrix!$I$2:$I$98,A29,Matrix!$J$2:$J$98,"S",Matrix!$G$2:$G$98,"Custom")*$B$4+COUNTIFS(Matrix!$I$2:$I$98,A29,Matrix!$J$2:$J$98,"S",Matrix!$G$2:$G$98,"Config")*$B$4+COUNTIFS(Matrix!$I$2:$I$98,A29,Matrix!$J$2:$J$98,"S",Matrix!$G$2:$G$98,"Integration")*$B$4+COUNTIFS(Matrix!$I$2:$I$98,A29,Matrix!$J$2:$J$98,"M",Matrix!$G$2:$G$98,"Custom")*$B$5+COUNTIFS(Matrix!$I$2:$I$98,A29,Matrix!$J$2:$J$98,"M",Matrix!$G$2:$G$98,"Config")*$B$5+COUNTIFS(Matrix!$I$2:$I$98,A29,Matrix!$J$2:$J$98,"M",Matrix!$G$2:$G$98,"Integration")*$B$5+COUNTIFS(Matrix!$I$2:$I$98,A29,Matrix!$J$2:$J$98,"L",Matrix!$G$2:$G$98,"Custom")*$B$6+COUNTIFS(Matrix!$I$2:$I$98,A29,Matrix!$J$2:$J$98,"L",Matrix!$G$2:$G$98,"Config")*$B$6+COUNTIFS(Matrix!$I$2:$I$98,A29,Matrix!$J$2:$J$98,"L",Matrix!$G$2:$G$98,"Integration")*$B$6</f>
        <v>34.5</v>
      </c>
    </row>
    <row r="30" customFormat="false" ht="15" hidden="false" customHeight="false" outlineLevel="0" collapsed="false">
      <c r="A30" s="2" t="s">
        <v>41</v>
      </c>
      <c r="B30" s="2" t="n">
        <f aca="false">COUNTIFS(Matrix!$I$2:$I$98,A30,Matrix!$G$2:$G$98,"&lt;&gt;Standard")</f>
        <v>9</v>
      </c>
      <c r="C30" s="8" t="n">
        <f aca="false">COUNTIFS(Matrix!$I$2:$I$98,A30,Matrix!$J$2:$J$98,"S",Matrix!$G$2:$G$98,"Custom")*$B$4+COUNTIFS(Matrix!$I$2:$I$98,A30,Matrix!$J$2:$J$98,"S",Matrix!$G$2:$G$98,"Config")*$B$4+COUNTIFS(Matrix!$I$2:$I$98,A30,Matrix!$J$2:$J$98,"S",Matrix!$G$2:$G$98,"Integration")*$B$4+COUNTIFS(Matrix!$I$2:$I$98,A30,Matrix!$J$2:$J$98,"M",Matrix!$G$2:$G$98,"Custom")*$B$5+COUNTIFS(Matrix!$I$2:$I$98,A30,Matrix!$J$2:$J$98,"M",Matrix!$G$2:$G$98,"Config")*$B$5+COUNTIFS(Matrix!$I$2:$I$98,A30,Matrix!$J$2:$J$98,"M",Matrix!$G$2:$G$98,"Integration")*$B$5+COUNTIFS(Matrix!$I$2:$I$98,A30,Matrix!$J$2:$J$98,"L",Matrix!$G$2:$G$98,"Custom")*$B$6+COUNTIFS(Matrix!$I$2:$I$98,A30,Matrix!$J$2:$J$98,"L",Matrix!$G$2:$G$98,"Config")*$B$6+COUNTIFS(Matrix!$I$2:$I$98,A30,Matrix!$J$2:$J$98,"L",Matrix!$G$2:$G$98,"Integration")*$B$6</f>
        <v>28.5</v>
      </c>
    </row>
    <row r="31" customFormat="false" ht="15" hidden="false" customHeight="false" outlineLevel="0" collapsed="false">
      <c r="A31" s="2" t="s">
        <v>42</v>
      </c>
      <c r="B31" s="2" t="n">
        <f aca="false">COUNTIFS(Matrix!$I$2:$I$98,A31,Matrix!$G$2:$G$98,"&lt;&gt;Standard")</f>
        <v>9</v>
      </c>
      <c r="C31" s="8" t="n">
        <f aca="false">COUNTIFS(Matrix!$I$2:$I$98,A31,Matrix!$J$2:$J$98,"S",Matrix!$G$2:$G$98,"Custom")*$B$4+COUNTIFS(Matrix!$I$2:$I$98,A31,Matrix!$J$2:$J$98,"S",Matrix!$G$2:$G$98,"Config")*$B$4+COUNTIFS(Matrix!$I$2:$I$98,A31,Matrix!$J$2:$J$98,"S",Matrix!$G$2:$G$98,"Integration")*$B$4+COUNTIFS(Matrix!$I$2:$I$98,A31,Matrix!$J$2:$J$98,"M",Matrix!$G$2:$G$98,"Custom")*$B$5+COUNTIFS(Matrix!$I$2:$I$98,A31,Matrix!$J$2:$J$98,"M",Matrix!$G$2:$G$98,"Config")*$B$5+COUNTIFS(Matrix!$I$2:$I$98,A31,Matrix!$J$2:$J$98,"M",Matrix!$G$2:$G$98,"Integration")*$B$5+COUNTIFS(Matrix!$I$2:$I$98,A31,Matrix!$J$2:$J$98,"L",Matrix!$G$2:$G$98,"Custom")*$B$6+COUNTIFS(Matrix!$I$2:$I$98,A31,Matrix!$J$2:$J$98,"L",Matrix!$G$2:$G$98,"Config")*$B$6+COUNTIFS(Matrix!$I$2:$I$98,A31,Matrix!$J$2:$J$98,"L",Matrix!$G$2:$G$98,"Integration")*$B$6</f>
        <v>19.5</v>
      </c>
    </row>
    <row r="32" customFormat="false" ht="15" hidden="false" customHeight="false" outlineLevel="0" collapsed="false">
      <c r="A32" s="2" t="s">
        <v>43</v>
      </c>
      <c r="B32" s="2" t="n">
        <f aca="false">COUNTIFS(Matrix!$I$2:$I$98,A32,Matrix!$G$2:$G$98,"&lt;&gt;Standard")</f>
        <v>2</v>
      </c>
      <c r="C32" s="8" t="n">
        <f aca="false">COUNTIFS(Matrix!$I$2:$I$98,A32,Matrix!$J$2:$J$98,"S",Matrix!$G$2:$G$98,"Custom")*$B$4+COUNTIFS(Matrix!$I$2:$I$98,A32,Matrix!$J$2:$J$98,"S",Matrix!$G$2:$G$98,"Config")*$B$4+COUNTIFS(Matrix!$I$2:$I$98,A32,Matrix!$J$2:$J$98,"S",Matrix!$G$2:$G$98,"Integration")*$B$4+COUNTIFS(Matrix!$I$2:$I$98,A32,Matrix!$J$2:$J$98,"M",Matrix!$G$2:$G$98,"Custom")*$B$5+COUNTIFS(Matrix!$I$2:$I$98,A32,Matrix!$J$2:$J$98,"M",Matrix!$G$2:$G$98,"Config")*$B$5+COUNTIFS(Matrix!$I$2:$I$98,A32,Matrix!$J$2:$J$98,"M",Matrix!$G$2:$G$98,"Integration")*$B$5+COUNTIFS(Matrix!$I$2:$I$98,A32,Matrix!$J$2:$J$98,"L",Matrix!$G$2:$G$98,"Custom")*$B$6+COUNTIFS(Matrix!$I$2:$I$98,A32,Matrix!$J$2:$J$98,"L",Matrix!$G$2:$G$98,"Config")*$B$6+COUNTIFS(Matrix!$I$2:$I$98,A32,Matrix!$J$2:$J$98,"L",Matrix!$G$2:$G$98,"Integration")*$B$6</f>
        <v>6</v>
      </c>
    </row>
    <row r="33" customFormat="false" ht="15" hidden="false" customHeight="false" outlineLevel="0" collapsed="false">
      <c r="A33" s="3" t="s">
        <v>27</v>
      </c>
      <c r="B33" s="3" t="n">
        <f aca="false">SUM(B27:B32)</f>
        <v>49</v>
      </c>
      <c r="C33" s="9" t="n">
        <f aca="false">SUM(C27:C32)</f>
        <v>139</v>
      </c>
    </row>
    <row r="34" customFormat="false" ht="15" hidden="false" customHeight="false" outlineLevel="0" collapsed="false">
      <c r="A34" s="5" t="str">
        <f aca="false">"≈ "&amp;TEXT(C33/5,"0.0")&amp;" person-weeks of build/config (excl. standard setup, data migration, training, UAT)"</f>
        <v>≈ 27.8 person-weeks of build/config (excl. standard setup, data migration, training, UAT)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60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6"/>
    <col collapsed="false" customWidth="true" hidden="false" outlineLevel="0" max="11" min="11" style="0" width="14"/>
    <col collapsed="false" customWidth="true" hidden="false" outlineLevel="0" max="12" min="12" style="0" width="34"/>
    <col collapsed="false" customWidth="true" hidden="false" outlineLevel="0" max="13" min="13" style="0" width="12"/>
  </cols>
  <sheetData>
    <row r="1" customFormat="false" ht="35.05" hidden="false" customHeight="fals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18</v>
      </c>
      <c r="H1" s="10" t="s">
        <v>35</v>
      </c>
      <c r="I1" s="10" t="s">
        <v>50</v>
      </c>
      <c r="J1" s="10" t="s">
        <v>51</v>
      </c>
      <c r="K1" s="10" t="s">
        <v>29</v>
      </c>
      <c r="L1" s="10" t="s">
        <v>52</v>
      </c>
      <c r="M1" s="10" t="s">
        <v>53</v>
      </c>
    </row>
    <row r="2" customFormat="false" ht="15" hidden="false" customHeight="false" outlineLevel="0" collapsed="false">
      <c r="A2" s="11" t="s">
        <v>54</v>
      </c>
      <c r="B2" s="11" t="s">
        <v>55</v>
      </c>
      <c r="C2" s="11" t="s">
        <v>56</v>
      </c>
      <c r="D2" s="11" t="s">
        <v>57</v>
      </c>
      <c r="E2" s="11" t="s">
        <v>58</v>
      </c>
      <c r="F2" s="11" t="s">
        <v>21</v>
      </c>
      <c r="G2" s="12" t="s">
        <v>21</v>
      </c>
      <c r="H2" s="11" t="s">
        <v>39</v>
      </c>
      <c r="I2" s="11" t="s">
        <v>39</v>
      </c>
      <c r="J2" s="11" t="s">
        <v>13</v>
      </c>
      <c r="K2" s="11" t="s">
        <v>30</v>
      </c>
      <c r="L2" s="11"/>
      <c r="M2" s="11" t="s">
        <v>59</v>
      </c>
    </row>
    <row r="3" customFormat="false" ht="35.05" hidden="false" customHeight="false" outlineLevel="0" collapsed="false">
      <c r="A3" s="11" t="s">
        <v>60</v>
      </c>
      <c r="B3" s="11" t="s">
        <v>55</v>
      </c>
      <c r="C3" s="11" t="s">
        <v>61</v>
      </c>
      <c r="D3" s="11" t="s">
        <v>62</v>
      </c>
      <c r="E3" s="11" t="s">
        <v>63</v>
      </c>
      <c r="F3" s="11" t="s">
        <v>64</v>
      </c>
      <c r="G3" s="13" t="s">
        <v>23</v>
      </c>
      <c r="H3" s="11" t="s">
        <v>39</v>
      </c>
      <c r="I3" s="11" t="s">
        <v>39</v>
      </c>
      <c r="J3" s="11" t="s">
        <v>16</v>
      </c>
      <c r="K3" s="11" t="s">
        <v>32</v>
      </c>
      <c r="L3" s="11" t="s">
        <v>65</v>
      </c>
      <c r="M3" s="11" t="s">
        <v>59</v>
      </c>
    </row>
    <row r="4" customFormat="false" ht="23.85" hidden="false" customHeight="false" outlineLevel="0" collapsed="false">
      <c r="A4" s="11" t="s">
        <v>66</v>
      </c>
      <c r="B4" s="11" t="s">
        <v>55</v>
      </c>
      <c r="C4" s="11" t="s">
        <v>67</v>
      </c>
      <c r="D4" s="11" t="s">
        <v>57</v>
      </c>
      <c r="E4" s="11" t="s">
        <v>68</v>
      </c>
      <c r="F4" s="11" t="s">
        <v>21</v>
      </c>
      <c r="G4" s="12" t="s">
        <v>21</v>
      </c>
      <c r="H4" s="11" t="s">
        <v>39</v>
      </c>
      <c r="I4" s="11" t="s">
        <v>39</v>
      </c>
      <c r="J4" s="11" t="s">
        <v>13</v>
      </c>
      <c r="K4" s="11" t="s">
        <v>30</v>
      </c>
      <c r="L4" s="11"/>
      <c r="M4" s="11" t="s">
        <v>59</v>
      </c>
    </row>
    <row r="5" customFormat="false" ht="23.85" hidden="false" customHeight="false" outlineLevel="0" collapsed="false">
      <c r="A5" s="11" t="s">
        <v>69</v>
      </c>
      <c r="B5" s="11" t="s">
        <v>55</v>
      </c>
      <c r="C5" s="11" t="s">
        <v>70</v>
      </c>
      <c r="D5" s="11" t="s">
        <v>62</v>
      </c>
      <c r="E5" s="11" t="s">
        <v>71</v>
      </c>
      <c r="F5" s="11" t="s">
        <v>22</v>
      </c>
      <c r="G5" s="14" t="s">
        <v>22</v>
      </c>
      <c r="H5" s="11" t="s">
        <v>39</v>
      </c>
      <c r="I5" s="11" t="s">
        <v>39</v>
      </c>
      <c r="J5" s="11" t="s">
        <v>13</v>
      </c>
      <c r="K5" s="11" t="s">
        <v>31</v>
      </c>
      <c r="L5" s="11"/>
      <c r="M5" s="11" t="s">
        <v>59</v>
      </c>
    </row>
    <row r="6" customFormat="false" ht="23.85" hidden="false" customHeight="false" outlineLevel="0" collapsed="false">
      <c r="A6" s="11" t="s">
        <v>72</v>
      </c>
      <c r="B6" s="11" t="s">
        <v>55</v>
      </c>
      <c r="C6" s="11" t="s">
        <v>73</v>
      </c>
      <c r="D6" s="11" t="s">
        <v>57</v>
      </c>
      <c r="E6" s="11" t="s">
        <v>74</v>
      </c>
      <c r="F6" s="11" t="s">
        <v>21</v>
      </c>
      <c r="G6" s="12" t="s">
        <v>21</v>
      </c>
      <c r="H6" s="11" t="s">
        <v>39</v>
      </c>
      <c r="I6" s="11" t="s">
        <v>39</v>
      </c>
      <c r="J6" s="11" t="s">
        <v>13</v>
      </c>
      <c r="K6" s="11" t="s">
        <v>30</v>
      </c>
      <c r="L6" s="11"/>
      <c r="M6" s="11" t="s">
        <v>59</v>
      </c>
    </row>
    <row r="7" customFormat="false" ht="23.85" hidden="false" customHeight="false" outlineLevel="0" collapsed="false">
      <c r="A7" s="11" t="s">
        <v>75</v>
      </c>
      <c r="B7" s="11" t="s">
        <v>76</v>
      </c>
      <c r="C7" s="11" t="s">
        <v>77</v>
      </c>
      <c r="D7" s="11" t="s">
        <v>57</v>
      </c>
      <c r="E7" s="11" t="s">
        <v>78</v>
      </c>
      <c r="F7" s="11" t="s">
        <v>22</v>
      </c>
      <c r="G7" s="14" t="s">
        <v>22</v>
      </c>
      <c r="H7" s="11" t="s">
        <v>39</v>
      </c>
      <c r="I7" s="11" t="s">
        <v>39</v>
      </c>
      <c r="J7" s="11" t="s">
        <v>13</v>
      </c>
      <c r="K7" s="11" t="s">
        <v>30</v>
      </c>
      <c r="L7" s="11"/>
      <c r="M7" s="11" t="s">
        <v>59</v>
      </c>
    </row>
    <row r="8" customFormat="false" ht="23.85" hidden="false" customHeight="false" outlineLevel="0" collapsed="false">
      <c r="A8" s="11" t="s">
        <v>79</v>
      </c>
      <c r="B8" s="11" t="s">
        <v>76</v>
      </c>
      <c r="C8" s="11" t="s">
        <v>80</v>
      </c>
      <c r="D8" s="11" t="s">
        <v>57</v>
      </c>
      <c r="E8" s="11" t="s">
        <v>81</v>
      </c>
      <c r="F8" s="11" t="s">
        <v>21</v>
      </c>
      <c r="G8" s="12" t="s">
        <v>21</v>
      </c>
      <c r="H8" s="11" t="s">
        <v>39</v>
      </c>
      <c r="I8" s="11" t="s">
        <v>39</v>
      </c>
      <c r="J8" s="11" t="s">
        <v>13</v>
      </c>
      <c r="K8" s="11" t="s">
        <v>30</v>
      </c>
      <c r="L8" s="11"/>
      <c r="M8" s="11" t="s">
        <v>59</v>
      </c>
    </row>
    <row r="9" customFormat="false" ht="23.85" hidden="false" customHeight="false" outlineLevel="0" collapsed="false">
      <c r="A9" s="11" t="s">
        <v>82</v>
      </c>
      <c r="B9" s="11" t="s">
        <v>76</v>
      </c>
      <c r="C9" s="11" t="s">
        <v>83</v>
      </c>
      <c r="D9" s="11" t="s">
        <v>62</v>
      </c>
      <c r="E9" s="11" t="s">
        <v>84</v>
      </c>
      <c r="F9" s="11" t="s">
        <v>85</v>
      </c>
      <c r="G9" s="14" t="s">
        <v>22</v>
      </c>
      <c r="H9" s="11" t="s">
        <v>86</v>
      </c>
      <c r="I9" s="11" t="s">
        <v>39</v>
      </c>
      <c r="J9" s="11" t="s">
        <v>15</v>
      </c>
      <c r="K9" s="11" t="s">
        <v>31</v>
      </c>
      <c r="L9" s="11"/>
      <c r="M9" s="11" t="s">
        <v>59</v>
      </c>
    </row>
    <row r="10" customFormat="false" ht="23.85" hidden="false" customHeight="false" outlineLevel="0" collapsed="false">
      <c r="A10" s="11" t="s">
        <v>87</v>
      </c>
      <c r="B10" s="11" t="s">
        <v>76</v>
      </c>
      <c r="C10" s="11" t="s">
        <v>88</v>
      </c>
      <c r="D10" s="11" t="s">
        <v>57</v>
      </c>
      <c r="E10" s="11" t="s">
        <v>89</v>
      </c>
      <c r="F10" s="11" t="s">
        <v>90</v>
      </c>
      <c r="G10" s="13" t="s">
        <v>23</v>
      </c>
      <c r="H10" s="11" t="s">
        <v>39</v>
      </c>
      <c r="I10" s="11" t="s">
        <v>39</v>
      </c>
      <c r="J10" s="11" t="s">
        <v>15</v>
      </c>
      <c r="K10" s="11" t="s">
        <v>32</v>
      </c>
      <c r="L10" s="11"/>
      <c r="M10" s="11" t="s">
        <v>59</v>
      </c>
    </row>
    <row r="11" customFormat="false" ht="23.85" hidden="false" customHeight="false" outlineLevel="0" collapsed="false">
      <c r="A11" s="11" t="s">
        <v>91</v>
      </c>
      <c r="B11" s="11" t="s">
        <v>76</v>
      </c>
      <c r="C11" s="11" t="s">
        <v>92</v>
      </c>
      <c r="D11" s="11" t="s">
        <v>57</v>
      </c>
      <c r="E11" s="11" t="s">
        <v>93</v>
      </c>
      <c r="F11" s="11" t="s">
        <v>21</v>
      </c>
      <c r="G11" s="12" t="s">
        <v>21</v>
      </c>
      <c r="H11" s="11" t="s">
        <v>42</v>
      </c>
      <c r="I11" s="11" t="s">
        <v>42</v>
      </c>
      <c r="J11" s="11" t="s">
        <v>13</v>
      </c>
      <c r="K11" s="11" t="s">
        <v>30</v>
      </c>
      <c r="L11" s="11"/>
      <c r="M11" s="11" t="s">
        <v>59</v>
      </c>
    </row>
    <row r="12" customFormat="false" ht="15" hidden="false" customHeight="false" outlineLevel="0" collapsed="false">
      <c r="A12" s="11" t="s">
        <v>94</v>
      </c>
      <c r="B12" s="11" t="s">
        <v>76</v>
      </c>
      <c r="C12" s="11" t="s">
        <v>95</v>
      </c>
      <c r="D12" s="11" t="s">
        <v>96</v>
      </c>
      <c r="E12" s="11" t="s">
        <v>97</v>
      </c>
      <c r="F12" s="11" t="s">
        <v>21</v>
      </c>
      <c r="G12" s="12" t="s">
        <v>21</v>
      </c>
      <c r="H12" s="11" t="s">
        <v>41</v>
      </c>
      <c r="I12" s="11" t="s">
        <v>41</v>
      </c>
      <c r="J12" s="11" t="s">
        <v>13</v>
      </c>
      <c r="K12" s="11" t="s">
        <v>31</v>
      </c>
      <c r="L12" s="11"/>
      <c r="M12" s="11" t="s">
        <v>59</v>
      </c>
    </row>
    <row r="13" customFormat="false" ht="23.85" hidden="false" customHeight="false" outlineLevel="0" collapsed="false">
      <c r="A13" s="11" t="s">
        <v>98</v>
      </c>
      <c r="B13" s="11" t="s">
        <v>76</v>
      </c>
      <c r="C13" s="11" t="s">
        <v>99</v>
      </c>
      <c r="D13" s="11" t="s">
        <v>96</v>
      </c>
      <c r="E13" s="11" t="s">
        <v>100</v>
      </c>
      <c r="F13" s="11" t="s">
        <v>101</v>
      </c>
      <c r="G13" s="13" t="s">
        <v>23</v>
      </c>
      <c r="H13" s="11" t="s">
        <v>41</v>
      </c>
      <c r="I13" s="11" t="s">
        <v>41</v>
      </c>
      <c r="J13" s="11" t="s">
        <v>13</v>
      </c>
      <c r="K13" s="11" t="s">
        <v>32</v>
      </c>
      <c r="L13" s="11" t="s">
        <v>102</v>
      </c>
      <c r="M13" s="11" t="s">
        <v>59</v>
      </c>
    </row>
    <row r="14" customFormat="false" ht="23.85" hidden="false" customHeight="false" outlineLevel="0" collapsed="false">
      <c r="A14" s="11" t="s">
        <v>103</v>
      </c>
      <c r="B14" s="11" t="s">
        <v>76</v>
      </c>
      <c r="C14" s="11" t="s">
        <v>104</v>
      </c>
      <c r="D14" s="11" t="s">
        <v>105</v>
      </c>
      <c r="E14" s="11" t="s">
        <v>106</v>
      </c>
      <c r="F14" s="11" t="s">
        <v>101</v>
      </c>
      <c r="G14" s="13" t="s">
        <v>23</v>
      </c>
      <c r="H14" s="11" t="s">
        <v>41</v>
      </c>
      <c r="I14" s="11" t="s">
        <v>41</v>
      </c>
      <c r="J14" s="11" t="s">
        <v>13</v>
      </c>
      <c r="K14" s="11" t="s">
        <v>107</v>
      </c>
      <c r="L14" s="11"/>
      <c r="M14" s="11" t="s">
        <v>59</v>
      </c>
    </row>
    <row r="15" customFormat="false" ht="23.85" hidden="false" customHeight="false" outlineLevel="0" collapsed="false">
      <c r="A15" s="11" t="s">
        <v>108</v>
      </c>
      <c r="B15" s="11" t="s">
        <v>76</v>
      </c>
      <c r="C15" s="11" t="s">
        <v>109</v>
      </c>
      <c r="D15" s="11" t="s">
        <v>96</v>
      </c>
      <c r="E15" s="11" t="s">
        <v>110</v>
      </c>
      <c r="F15" s="11" t="s">
        <v>22</v>
      </c>
      <c r="G15" s="14" t="s">
        <v>22</v>
      </c>
      <c r="H15" s="11" t="s">
        <v>43</v>
      </c>
      <c r="I15" s="11" t="s">
        <v>43</v>
      </c>
      <c r="J15" s="11" t="s">
        <v>13</v>
      </c>
      <c r="K15" s="11" t="s">
        <v>32</v>
      </c>
      <c r="L15" s="11" t="s">
        <v>111</v>
      </c>
      <c r="M15" s="11" t="s">
        <v>59</v>
      </c>
    </row>
    <row r="16" customFormat="false" ht="23.85" hidden="false" customHeight="false" outlineLevel="0" collapsed="false">
      <c r="A16" s="11" t="s">
        <v>112</v>
      </c>
      <c r="B16" s="11" t="s">
        <v>113</v>
      </c>
      <c r="C16" s="11" t="s">
        <v>114</v>
      </c>
      <c r="D16" s="11" t="s">
        <v>105</v>
      </c>
      <c r="E16" s="11" t="s">
        <v>115</v>
      </c>
      <c r="F16" s="11" t="s">
        <v>22</v>
      </c>
      <c r="G16" s="14" t="s">
        <v>22</v>
      </c>
      <c r="H16" s="11" t="s">
        <v>39</v>
      </c>
      <c r="I16" s="11" t="s">
        <v>39</v>
      </c>
      <c r="J16" s="11" t="s">
        <v>13</v>
      </c>
      <c r="K16" s="11" t="s">
        <v>31</v>
      </c>
      <c r="L16" s="11"/>
      <c r="M16" s="11" t="s">
        <v>59</v>
      </c>
    </row>
    <row r="17" customFormat="false" ht="23.85" hidden="false" customHeight="false" outlineLevel="0" collapsed="false">
      <c r="A17" s="11" t="s">
        <v>116</v>
      </c>
      <c r="B17" s="11" t="s">
        <v>113</v>
      </c>
      <c r="C17" s="11" t="s">
        <v>117</v>
      </c>
      <c r="D17" s="11" t="s">
        <v>105</v>
      </c>
      <c r="E17" s="11" t="s">
        <v>118</v>
      </c>
      <c r="F17" s="11" t="s">
        <v>22</v>
      </c>
      <c r="G17" s="14" t="s">
        <v>22</v>
      </c>
      <c r="H17" s="11" t="s">
        <v>40</v>
      </c>
      <c r="I17" s="11" t="s">
        <v>40</v>
      </c>
      <c r="J17" s="11" t="s">
        <v>13</v>
      </c>
      <c r="K17" s="11" t="s">
        <v>31</v>
      </c>
      <c r="L17" s="11"/>
      <c r="M17" s="11" t="s">
        <v>59</v>
      </c>
    </row>
    <row r="18" customFormat="false" ht="23.85" hidden="false" customHeight="false" outlineLevel="0" collapsed="false">
      <c r="A18" s="11" t="s">
        <v>119</v>
      </c>
      <c r="B18" s="11" t="s">
        <v>113</v>
      </c>
      <c r="C18" s="11" t="s">
        <v>120</v>
      </c>
      <c r="D18" s="11" t="s">
        <v>105</v>
      </c>
      <c r="E18" s="11" t="s">
        <v>121</v>
      </c>
      <c r="F18" s="11" t="s">
        <v>122</v>
      </c>
      <c r="G18" s="13" t="s">
        <v>23</v>
      </c>
      <c r="H18" s="11" t="s">
        <v>40</v>
      </c>
      <c r="I18" s="11" t="s">
        <v>40</v>
      </c>
      <c r="J18" s="11" t="s">
        <v>15</v>
      </c>
      <c r="K18" s="11" t="s">
        <v>32</v>
      </c>
      <c r="L18" s="11" t="s">
        <v>123</v>
      </c>
      <c r="M18" s="11" t="s">
        <v>59</v>
      </c>
    </row>
    <row r="19" customFormat="false" ht="23.85" hidden="false" customHeight="false" outlineLevel="0" collapsed="false">
      <c r="A19" s="11" t="s">
        <v>124</v>
      </c>
      <c r="B19" s="11" t="s">
        <v>113</v>
      </c>
      <c r="C19" s="11" t="s">
        <v>125</v>
      </c>
      <c r="D19" s="11" t="s">
        <v>126</v>
      </c>
      <c r="E19" s="11" t="s">
        <v>127</v>
      </c>
      <c r="F19" s="11" t="s">
        <v>101</v>
      </c>
      <c r="G19" s="13" t="s">
        <v>23</v>
      </c>
      <c r="H19" s="11" t="s">
        <v>41</v>
      </c>
      <c r="I19" s="11" t="s">
        <v>41</v>
      </c>
      <c r="J19" s="11" t="s">
        <v>15</v>
      </c>
      <c r="K19" s="11" t="s">
        <v>30</v>
      </c>
      <c r="L19" s="11"/>
      <c r="M19" s="11" t="s">
        <v>59</v>
      </c>
    </row>
    <row r="20" customFormat="false" ht="23.85" hidden="false" customHeight="false" outlineLevel="0" collapsed="false">
      <c r="A20" s="11" t="s">
        <v>128</v>
      </c>
      <c r="B20" s="11" t="s">
        <v>113</v>
      </c>
      <c r="C20" s="11" t="s">
        <v>129</v>
      </c>
      <c r="D20" s="11" t="s">
        <v>96</v>
      </c>
      <c r="E20" s="11" t="s">
        <v>130</v>
      </c>
      <c r="F20" s="11" t="s">
        <v>131</v>
      </c>
      <c r="G20" s="12" t="s">
        <v>21</v>
      </c>
      <c r="H20" s="11" t="s">
        <v>132</v>
      </c>
      <c r="I20" s="11" t="s">
        <v>40</v>
      </c>
      <c r="J20" s="11" t="s">
        <v>13</v>
      </c>
      <c r="K20" s="11" t="s">
        <v>30</v>
      </c>
      <c r="L20" s="11"/>
      <c r="M20" s="11" t="s">
        <v>59</v>
      </c>
    </row>
    <row r="21" customFormat="false" ht="35.05" hidden="false" customHeight="false" outlineLevel="0" collapsed="false">
      <c r="A21" s="11" t="s">
        <v>133</v>
      </c>
      <c r="B21" s="11" t="s">
        <v>113</v>
      </c>
      <c r="C21" s="11" t="s">
        <v>134</v>
      </c>
      <c r="D21" s="11" t="s">
        <v>96</v>
      </c>
      <c r="E21" s="11" t="s">
        <v>135</v>
      </c>
      <c r="F21" s="11" t="s">
        <v>136</v>
      </c>
      <c r="G21" s="13" t="s">
        <v>23</v>
      </c>
      <c r="H21" s="11" t="s">
        <v>137</v>
      </c>
      <c r="I21" s="11" t="s">
        <v>40</v>
      </c>
      <c r="J21" s="11" t="s">
        <v>15</v>
      </c>
      <c r="K21" s="11" t="s">
        <v>32</v>
      </c>
      <c r="L21" s="11" t="s">
        <v>138</v>
      </c>
      <c r="M21" s="11" t="s">
        <v>59</v>
      </c>
    </row>
    <row r="22" customFormat="false" ht="23.85" hidden="false" customHeight="false" outlineLevel="0" collapsed="false">
      <c r="A22" s="11" t="s">
        <v>139</v>
      </c>
      <c r="B22" s="11" t="s">
        <v>113</v>
      </c>
      <c r="C22" s="11" t="s">
        <v>140</v>
      </c>
      <c r="D22" s="11" t="s">
        <v>141</v>
      </c>
      <c r="E22" s="11" t="s">
        <v>142</v>
      </c>
      <c r="F22" s="11" t="s">
        <v>21</v>
      </c>
      <c r="G22" s="12" t="s">
        <v>21</v>
      </c>
      <c r="H22" s="11" t="s">
        <v>143</v>
      </c>
      <c r="I22" s="11" t="s">
        <v>41</v>
      </c>
      <c r="J22" s="11" t="s">
        <v>13</v>
      </c>
      <c r="K22" s="11" t="s">
        <v>30</v>
      </c>
      <c r="L22" s="11"/>
      <c r="M22" s="11" t="s">
        <v>59</v>
      </c>
    </row>
    <row r="23" customFormat="false" ht="15" hidden="false" customHeight="false" outlineLevel="0" collapsed="false">
      <c r="A23" s="11" t="s">
        <v>144</v>
      </c>
      <c r="B23" s="11" t="s">
        <v>113</v>
      </c>
      <c r="C23" s="11" t="s">
        <v>145</v>
      </c>
      <c r="D23" s="11" t="s">
        <v>96</v>
      </c>
      <c r="E23" s="11" t="s">
        <v>146</v>
      </c>
      <c r="F23" s="11" t="s">
        <v>147</v>
      </c>
      <c r="G23" s="12" t="s">
        <v>21</v>
      </c>
      <c r="H23" s="11" t="s">
        <v>40</v>
      </c>
      <c r="I23" s="11" t="s">
        <v>40</v>
      </c>
      <c r="J23" s="11" t="s">
        <v>13</v>
      </c>
      <c r="K23" s="11" t="s">
        <v>30</v>
      </c>
      <c r="L23" s="11"/>
      <c r="M23" s="11" t="s">
        <v>59</v>
      </c>
    </row>
    <row r="24" customFormat="false" ht="23.85" hidden="false" customHeight="false" outlineLevel="0" collapsed="false">
      <c r="A24" s="11" t="s">
        <v>148</v>
      </c>
      <c r="B24" s="11" t="s">
        <v>113</v>
      </c>
      <c r="C24" s="11" t="s">
        <v>149</v>
      </c>
      <c r="D24" s="11" t="s">
        <v>96</v>
      </c>
      <c r="E24" s="11" t="s">
        <v>150</v>
      </c>
      <c r="F24" s="11" t="s">
        <v>147</v>
      </c>
      <c r="G24" s="12" t="s">
        <v>21</v>
      </c>
      <c r="H24" s="11" t="s">
        <v>41</v>
      </c>
      <c r="I24" s="11" t="s">
        <v>41</v>
      </c>
      <c r="J24" s="11" t="s">
        <v>13</v>
      </c>
      <c r="K24" s="11" t="s">
        <v>31</v>
      </c>
      <c r="L24" s="11"/>
      <c r="M24" s="11" t="s">
        <v>59</v>
      </c>
    </row>
    <row r="25" customFormat="false" ht="15" hidden="false" customHeight="false" outlineLevel="0" collapsed="false">
      <c r="A25" s="11" t="s">
        <v>151</v>
      </c>
      <c r="B25" s="11" t="s">
        <v>113</v>
      </c>
      <c r="C25" s="11" t="s">
        <v>152</v>
      </c>
      <c r="D25" s="11" t="s">
        <v>96</v>
      </c>
      <c r="E25" s="11" t="s">
        <v>153</v>
      </c>
      <c r="F25" s="11" t="s">
        <v>22</v>
      </c>
      <c r="G25" s="14" t="s">
        <v>22</v>
      </c>
      <c r="H25" s="11" t="s">
        <v>38</v>
      </c>
      <c r="I25" s="11" t="s">
        <v>38</v>
      </c>
      <c r="J25" s="11" t="s">
        <v>13</v>
      </c>
      <c r="K25" s="11" t="s">
        <v>30</v>
      </c>
      <c r="L25" s="11"/>
      <c r="M25" s="11" t="s">
        <v>59</v>
      </c>
    </row>
    <row r="26" customFormat="false" ht="23.85" hidden="false" customHeight="false" outlineLevel="0" collapsed="false">
      <c r="A26" s="11" t="s">
        <v>154</v>
      </c>
      <c r="B26" s="11" t="s">
        <v>113</v>
      </c>
      <c r="C26" s="11" t="s">
        <v>155</v>
      </c>
      <c r="D26" s="11" t="s">
        <v>96</v>
      </c>
      <c r="E26" s="11" t="s">
        <v>156</v>
      </c>
      <c r="F26" s="11" t="s">
        <v>21</v>
      </c>
      <c r="G26" s="12" t="s">
        <v>21</v>
      </c>
      <c r="H26" s="11" t="s">
        <v>39</v>
      </c>
      <c r="I26" s="11" t="s">
        <v>39</v>
      </c>
      <c r="J26" s="11" t="s">
        <v>13</v>
      </c>
      <c r="K26" s="11" t="s">
        <v>30</v>
      </c>
      <c r="L26" s="11"/>
      <c r="M26" s="11" t="s">
        <v>59</v>
      </c>
    </row>
    <row r="27" customFormat="false" ht="23.85" hidden="false" customHeight="false" outlineLevel="0" collapsed="false">
      <c r="A27" s="11" t="s">
        <v>157</v>
      </c>
      <c r="B27" s="11" t="s">
        <v>113</v>
      </c>
      <c r="C27" s="11" t="s">
        <v>158</v>
      </c>
      <c r="D27" s="11" t="s">
        <v>96</v>
      </c>
      <c r="E27" s="11" t="s">
        <v>159</v>
      </c>
      <c r="F27" s="11" t="s">
        <v>160</v>
      </c>
      <c r="G27" s="12" t="s">
        <v>21</v>
      </c>
      <c r="H27" s="11" t="s">
        <v>161</v>
      </c>
      <c r="I27" s="11" t="s">
        <v>38</v>
      </c>
      <c r="J27" s="11" t="s">
        <v>13</v>
      </c>
      <c r="K27" s="11" t="s">
        <v>30</v>
      </c>
      <c r="L27" s="11"/>
      <c r="M27" s="11" t="s">
        <v>59</v>
      </c>
    </row>
    <row r="28" customFormat="false" ht="15" hidden="false" customHeight="false" outlineLevel="0" collapsed="false">
      <c r="A28" s="11" t="s">
        <v>162</v>
      </c>
      <c r="B28" s="11" t="s">
        <v>113</v>
      </c>
      <c r="C28" s="11" t="s">
        <v>163</v>
      </c>
      <c r="D28" s="11" t="s">
        <v>96</v>
      </c>
      <c r="E28" s="11" t="s">
        <v>164</v>
      </c>
      <c r="F28" s="11" t="s">
        <v>165</v>
      </c>
      <c r="G28" s="13" t="s">
        <v>23</v>
      </c>
      <c r="H28" s="11" t="s">
        <v>166</v>
      </c>
      <c r="I28" s="11" t="s">
        <v>39</v>
      </c>
      <c r="J28" s="11" t="s">
        <v>15</v>
      </c>
      <c r="K28" s="11" t="s">
        <v>32</v>
      </c>
      <c r="L28" s="11" t="s">
        <v>167</v>
      </c>
      <c r="M28" s="11" t="s">
        <v>59</v>
      </c>
    </row>
    <row r="29" customFormat="false" ht="23.85" hidden="false" customHeight="false" outlineLevel="0" collapsed="false">
      <c r="A29" s="11" t="s">
        <v>168</v>
      </c>
      <c r="B29" s="11" t="s">
        <v>113</v>
      </c>
      <c r="C29" s="11" t="s">
        <v>169</v>
      </c>
      <c r="D29" s="11" t="s">
        <v>96</v>
      </c>
      <c r="E29" s="11" t="s">
        <v>170</v>
      </c>
      <c r="F29" s="11" t="s">
        <v>165</v>
      </c>
      <c r="G29" s="13" t="s">
        <v>23</v>
      </c>
      <c r="H29" s="11" t="s">
        <v>42</v>
      </c>
      <c r="I29" s="11" t="s">
        <v>42</v>
      </c>
      <c r="J29" s="11" t="s">
        <v>15</v>
      </c>
      <c r="K29" s="11" t="s">
        <v>32</v>
      </c>
      <c r="L29" s="11"/>
      <c r="M29" s="11" t="s">
        <v>59</v>
      </c>
    </row>
    <row r="30" customFormat="false" ht="15" hidden="false" customHeight="false" outlineLevel="0" collapsed="false">
      <c r="A30" s="11" t="s">
        <v>171</v>
      </c>
      <c r="B30" s="11" t="s">
        <v>113</v>
      </c>
      <c r="C30" s="11" t="s">
        <v>172</v>
      </c>
      <c r="D30" s="11" t="s">
        <v>96</v>
      </c>
      <c r="E30" s="11" t="s">
        <v>173</v>
      </c>
      <c r="F30" s="11" t="s">
        <v>21</v>
      </c>
      <c r="G30" s="12" t="s">
        <v>21</v>
      </c>
      <c r="H30" s="11" t="s">
        <v>39</v>
      </c>
      <c r="I30" s="11" t="s">
        <v>39</v>
      </c>
      <c r="J30" s="11" t="s">
        <v>13</v>
      </c>
      <c r="K30" s="11" t="s">
        <v>30</v>
      </c>
      <c r="L30" s="11"/>
      <c r="M30" s="11" t="s">
        <v>59</v>
      </c>
    </row>
    <row r="31" customFormat="false" ht="15" hidden="false" customHeight="false" outlineLevel="0" collapsed="false">
      <c r="A31" s="11" t="s">
        <v>174</v>
      </c>
      <c r="B31" s="11" t="s">
        <v>113</v>
      </c>
      <c r="C31" s="11" t="s">
        <v>175</v>
      </c>
      <c r="D31" s="11" t="s">
        <v>96</v>
      </c>
      <c r="E31" s="11" t="s">
        <v>176</v>
      </c>
      <c r="F31" s="11" t="s">
        <v>147</v>
      </c>
      <c r="G31" s="12" t="s">
        <v>21</v>
      </c>
      <c r="H31" s="11" t="s">
        <v>132</v>
      </c>
      <c r="I31" s="11" t="s">
        <v>40</v>
      </c>
      <c r="J31" s="11" t="s">
        <v>13</v>
      </c>
      <c r="K31" s="11" t="s">
        <v>31</v>
      </c>
      <c r="L31" s="11"/>
      <c r="M31" s="11" t="s">
        <v>59</v>
      </c>
    </row>
    <row r="32" customFormat="false" ht="23.85" hidden="false" customHeight="false" outlineLevel="0" collapsed="false">
      <c r="A32" s="11" t="s">
        <v>177</v>
      </c>
      <c r="B32" s="11" t="s">
        <v>113</v>
      </c>
      <c r="C32" s="11" t="s">
        <v>178</v>
      </c>
      <c r="D32" s="11" t="s">
        <v>96</v>
      </c>
      <c r="E32" s="11" t="s">
        <v>179</v>
      </c>
      <c r="F32" s="11" t="s">
        <v>180</v>
      </c>
      <c r="G32" s="14" t="s">
        <v>22</v>
      </c>
      <c r="H32" s="11" t="s">
        <v>41</v>
      </c>
      <c r="I32" s="11" t="s">
        <v>41</v>
      </c>
      <c r="J32" s="11" t="s">
        <v>13</v>
      </c>
      <c r="K32" s="11" t="s">
        <v>32</v>
      </c>
      <c r="L32" s="11"/>
      <c r="M32" s="11" t="s">
        <v>59</v>
      </c>
    </row>
    <row r="33" customFormat="false" ht="23.85" hidden="false" customHeight="false" outlineLevel="0" collapsed="false">
      <c r="A33" s="11" t="s">
        <v>181</v>
      </c>
      <c r="B33" s="11" t="s">
        <v>113</v>
      </c>
      <c r="C33" s="11" t="s">
        <v>182</v>
      </c>
      <c r="D33" s="11" t="s">
        <v>96</v>
      </c>
      <c r="E33" s="11" t="s">
        <v>183</v>
      </c>
      <c r="F33" s="11" t="s">
        <v>23</v>
      </c>
      <c r="G33" s="13" t="s">
        <v>23</v>
      </c>
      <c r="H33" s="11" t="s">
        <v>143</v>
      </c>
      <c r="I33" s="11" t="s">
        <v>41</v>
      </c>
      <c r="J33" s="11" t="s">
        <v>15</v>
      </c>
      <c r="K33" s="11" t="s">
        <v>184</v>
      </c>
      <c r="L33" s="11"/>
      <c r="M33" s="11" t="s">
        <v>59</v>
      </c>
    </row>
    <row r="34" customFormat="false" ht="23.85" hidden="false" customHeight="false" outlineLevel="0" collapsed="false">
      <c r="A34" s="11" t="s">
        <v>185</v>
      </c>
      <c r="B34" s="11" t="s">
        <v>113</v>
      </c>
      <c r="C34" s="11" t="s">
        <v>186</v>
      </c>
      <c r="D34" s="11" t="s">
        <v>96</v>
      </c>
      <c r="E34" s="11" t="s">
        <v>187</v>
      </c>
      <c r="F34" s="11" t="s">
        <v>165</v>
      </c>
      <c r="G34" s="13" t="s">
        <v>23</v>
      </c>
      <c r="H34" s="11" t="s">
        <v>143</v>
      </c>
      <c r="I34" s="11" t="s">
        <v>41</v>
      </c>
      <c r="J34" s="11" t="s">
        <v>15</v>
      </c>
      <c r="K34" s="11" t="s">
        <v>32</v>
      </c>
      <c r="L34" s="11"/>
      <c r="M34" s="11" t="s">
        <v>59</v>
      </c>
    </row>
    <row r="35" customFormat="false" ht="15" hidden="false" customHeight="false" outlineLevel="0" collapsed="false">
      <c r="A35" s="11" t="s">
        <v>188</v>
      </c>
      <c r="B35" s="11" t="s">
        <v>189</v>
      </c>
      <c r="C35" s="11" t="s">
        <v>190</v>
      </c>
      <c r="D35" s="11" t="s">
        <v>191</v>
      </c>
      <c r="E35" s="11" t="s">
        <v>192</v>
      </c>
      <c r="F35" s="11" t="s">
        <v>22</v>
      </c>
      <c r="G35" s="14" t="s">
        <v>22</v>
      </c>
      <c r="H35" s="11" t="s">
        <v>39</v>
      </c>
      <c r="I35" s="11" t="s">
        <v>39</v>
      </c>
      <c r="J35" s="11" t="s">
        <v>13</v>
      </c>
      <c r="K35" s="11" t="s">
        <v>31</v>
      </c>
      <c r="L35" s="11"/>
      <c r="M35" s="11" t="s">
        <v>59</v>
      </c>
    </row>
    <row r="36" customFormat="false" ht="23.85" hidden="false" customHeight="false" outlineLevel="0" collapsed="false">
      <c r="A36" s="11" t="s">
        <v>193</v>
      </c>
      <c r="B36" s="11" t="s">
        <v>189</v>
      </c>
      <c r="C36" s="11" t="s">
        <v>194</v>
      </c>
      <c r="D36" s="11" t="s">
        <v>195</v>
      </c>
      <c r="E36" s="11" t="s">
        <v>196</v>
      </c>
      <c r="F36" s="11" t="s">
        <v>197</v>
      </c>
      <c r="G36" s="13" t="s">
        <v>23</v>
      </c>
      <c r="H36" s="11" t="s">
        <v>39</v>
      </c>
      <c r="I36" s="11" t="s">
        <v>39</v>
      </c>
      <c r="J36" s="11" t="s">
        <v>16</v>
      </c>
      <c r="K36" s="11" t="s">
        <v>30</v>
      </c>
      <c r="L36" s="11"/>
      <c r="M36" s="11" t="s">
        <v>59</v>
      </c>
    </row>
    <row r="37" customFormat="false" ht="23.85" hidden="false" customHeight="false" outlineLevel="0" collapsed="false">
      <c r="A37" s="11" t="s">
        <v>198</v>
      </c>
      <c r="B37" s="11" t="s">
        <v>189</v>
      </c>
      <c r="C37" s="11" t="s">
        <v>199</v>
      </c>
      <c r="D37" s="11" t="s">
        <v>195</v>
      </c>
      <c r="E37" s="11" t="s">
        <v>200</v>
      </c>
      <c r="F37" s="11" t="s">
        <v>201</v>
      </c>
      <c r="G37" s="14" t="s">
        <v>22</v>
      </c>
      <c r="H37" s="11" t="s">
        <v>39</v>
      </c>
      <c r="I37" s="11" t="s">
        <v>39</v>
      </c>
      <c r="J37" s="11" t="s">
        <v>15</v>
      </c>
      <c r="K37" s="11" t="s">
        <v>30</v>
      </c>
      <c r="L37" s="11" t="s">
        <v>202</v>
      </c>
      <c r="M37" s="11" t="s">
        <v>59</v>
      </c>
    </row>
    <row r="38" customFormat="false" ht="15" hidden="false" customHeight="false" outlineLevel="0" collapsed="false">
      <c r="A38" s="11" t="s">
        <v>203</v>
      </c>
      <c r="B38" s="11" t="s">
        <v>189</v>
      </c>
      <c r="C38" s="11" t="s">
        <v>204</v>
      </c>
      <c r="D38" s="11" t="s">
        <v>195</v>
      </c>
      <c r="E38" s="11" t="s">
        <v>205</v>
      </c>
      <c r="F38" s="11" t="s">
        <v>21</v>
      </c>
      <c r="G38" s="12" t="s">
        <v>21</v>
      </c>
      <c r="H38" s="11" t="s">
        <v>206</v>
      </c>
      <c r="I38" s="11" t="s">
        <v>39</v>
      </c>
      <c r="J38" s="11" t="s">
        <v>13</v>
      </c>
      <c r="K38" s="11" t="s">
        <v>30</v>
      </c>
      <c r="L38" s="11"/>
      <c r="M38" s="11" t="s">
        <v>59</v>
      </c>
    </row>
    <row r="39" customFormat="false" ht="23.85" hidden="false" customHeight="false" outlineLevel="0" collapsed="false">
      <c r="A39" s="11" t="s">
        <v>207</v>
      </c>
      <c r="B39" s="11" t="s">
        <v>189</v>
      </c>
      <c r="C39" s="11" t="s">
        <v>208</v>
      </c>
      <c r="D39" s="11" t="s">
        <v>191</v>
      </c>
      <c r="E39" s="11" t="s">
        <v>209</v>
      </c>
      <c r="F39" s="11" t="s">
        <v>22</v>
      </c>
      <c r="G39" s="14" t="s">
        <v>22</v>
      </c>
      <c r="H39" s="11" t="s">
        <v>40</v>
      </c>
      <c r="I39" s="11" t="s">
        <v>40</v>
      </c>
      <c r="J39" s="11" t="s">
        <v>13</v>
      </c>
      <c r="K39" s="11" t="s">
        <v>30</v>
      </c>
      <c r="L39" s="11"/>
      <c r="M39" s="11" t="s">
        <v>59</v>
      </c>
    </row>
    <row r="40" customFormat="false" ht="23.85" hidden="false" customHeight="false" outlineLevel="0" collapsed="false">
      <c r="A40" s="11" t="s">
        <v>210</v>
      </c>
      <c r="B40" s="11" t="s">
        <v>189</v>
      </c>
      <c r="C40" s="11" t="s">
        <v>211</v>
      </c>
      <c r="D40" s="11" t="s">
        <v>212</v>
      </c>
      <c r="E40" s="11" t="s">
        <v>213</v>
      </c>
      <c r="F40" s="11" t="s">
        <v>214</v>
      </c>
      <c r="G40" s="14" t="s">
        <v>22</v>
      </c>
      <c r="H40" s="11" t="s">
        <v>39</v>
      </c>
      <c r="I40" s="11" t="s">
        <v>39</v>
      </c>
      <c r="J40" s="11" t="s">
        <v>13</v>
      </c>
      <c r="K40" s="11" t="s">
        <v>215</v>
      </c>
      <c r="L40" s="11" t="s">
        <v>216</v>
      </c>
      <c r="M40" s="11" t="s">
        <v>59</v>
      </c>
    </row>
    <row r="41" customFormat="false" ht="15" hidden="false" customHeight="false" outlineLevel="0" collapsed="false">
      <c r="A41" s="11" t="s">
        <v>217</v>
      </c>
      <c r="B41" s="11" t="s">
        <v>218</v>
      </c>
      <c r="C41" s="11" t="s">
        <v>219</v>
      </c>
      <c r="D41" s="11" t="s">
        <v>191</v>
      </c>
      <c r="E41" s="11" t="s">
        <v>220</v>
      </c>
      <c r="F41" s="11" t="s">
        <v>22</v>
      </c>
      <c r="G41" s="14" t="s">
        <v>22</v>
      </c>
      <c r="H41" s="11" t="s">
        <v>40</v>
      </c>
      <c r="I41" s="11" t="s">
        <v>40</v>
      </c>
      <c r="J41" s="11" t="s">
        <v>13</v>
      </c>
      <c r="K41" s="11" t="s">
        <v>31</v>
      </c>
      <c r="L41" s="11"/>
      <c r="M41" s="11" t="s">
        <v>59</v>
      </c>
    </row>
    <row r="42" customFormat="false" ht="15" hidden="false" customHeight="false" outlineLevel="0" collapsed="false">
      <c r="A42" s="11" t="s">
        <v>221</v>
      </c>
      <c r="B42" s="11" t="s">
        <v>218</v>
      </c>
      <c r="C42" s="11" t="s">
        <v>222</v>
      </c>
      <c r="D42" s="11" t="s">
        <v>195</v>
      </c>
      <c r="E42" s="11" t="s">
        <v>223</v>
      </c>
      <c r="F42" s="11" t="s">
        <v>21</v>
      </c>
      <c r="G42" s="12" t="s">
        <v>21</v>
      </c>
      <c r="H42" s="11" t="s">
        <v>40</v>
      </c>
      <c r="I42" s="11" t="s">
        <v>40</v>
      </c>
      <c r="J42" s="11" t="s">
        <v>13</v>
      </c>
      <c r="K42" s="11" t="s">
        <v>30</v>
      </c>
      <c r="L42" s="11"/>
      <c r="M42" s="11" t="s">
        <v>59</v>
      </c>
    </row>
    <row r="43" customFormat="false" ht="23.85" hidden="false" customHeight="false" outlineLevel="0" collapsed="false">
      <c r="A43" s="11" t="s">
        <v>224</v>
      </c>
      <c r="B43" s="11" t="s">
        <v>218</v>
      </c>
      <c r="C43" s="11" t="s">
        <v>225</v>
      </c>
      <c r="D43" s="11" t="s">
        <v>195</v>
      </c>
      <c r="E43" s="11" t="s">
        <v>226</v>
      </c>
      <c r="F43" s="11" t="s">
        <v>227</v>
      </c>
      <c r="G43" s="13" t="s">
        <v>23</v>
      </c>
      <c r="H43" s="11" t="s">
        <v>40</v>
      </c>
      <c r="I43" s="11" t="s">
        <v>40</v>
      </c>
      <c r="J43" s="11" t="s">
        <v>15</v>
      </c>
      <c r="K43" s="11" t="s">
        <v>30</v>
      </c>
      <c r="L43" s="11"/>
      <c r="M43" s="11" t="s">
        <v>59</v>
      </c>
    </row>
    <row r="44" customFormat="false" ht="23.85" hidden="false" customHeight="false" outlineLevel="0" collapsed="false">
      <c r="A44" s="11" t="s">
        <v>228</v>
      </c>
      <c r="B44" s="11" t="s">
        <v>218</v>
      </c>
      <c r="C44" s="11" t="s">
        <v>229</v>
      </c>
      <c r="D44" s="11" t="s">
        <v>195</v>
      </c>
      <c r="E44" s="11" t="s">
        <v>230</v>
      </c>
      <c r="F44" s="11" t="s">
        <v>131</v>
      </c>
      <c r="G44" s="12" t="s">
        <v>21</v>
      </c>
      <c r="H44" s="11" t="s">
        <v>40</v>
      </c>
      <c r="I44" s="11" t="s">
        <v>40</v>
      </c>
      <c r="J44" s="11" t="s">
        <v>13</v>
      </c>
      <c r="K44" s="11" t="s">
        <v>30</v>
      </c>
      <c r="L44" s="11"/>
      <c r="M44" s="11" t="s">
        <v>59</v>
      </c>
    </row>
    <row r="45" customFormat="false" ht="15" hidden="false" customHeight="false" outlineLevel="0" collapsed="false">
      <c r="A45" s="11" t="s">
        <v>231</v>
      </c>
      <c r="B45" s="11" t="s">
        <v>218</v>
      </c>
      <c r="C45" s="11" t="s">
        <v>232</v>
      </c>
      <c r="D45" s="11" t="s">
        <v>195</v>
      </c>
      <c r="E45" s="11" t="s">
        <v>233</v>
      </c>
      <c r="F45" s="11" t="s">
        <v>234</v>
      </c>
      <c r="G45" s="13" t="s">
        <v>23</v>
      </c>
      <c r="H45" s="11" t="s">
        <v>40</v>
      </c>
      <c r="I45" s="11" t="s">
        <v>40</v>
      </c>
      <c r="J45" s="11" t="s">
        <v>13</v>
      </c>
      <c r="K45" s="11" t="s">
        <v>31</v>
      </c>
      <c r="L45" s="11"/>
      <c r="M45" s="11" t="s">
        <v>59</v>
      </c>
    </row>
    <row r="46" customFormat="false" ht="15" hidden="false" customHeight="false" outlineLevel="0" collapsed="false">
      <c r="A46" s="11" t="s">
        <v>235</v>
      </c>
      <c r="B46" s="11" t="s">
        <v>218</v>
      </c>
      <c r="C46" s="11" t="s">
        <v>236</v>
      </c>
      <c r="D46" s="11" t="s">
        <v>195</v>
      </c>
      <c r="E46" s="11" t="s">
        <v>237</v>
      </c>
      <c r="F46" s="11" t="s">
        <v>21</v>
      </c>
      <c r="G46" s="12" t="s">
        <v>21</v>
      </c>
      <c r="H46" s="11" t="s">
        <v>40</v>
      </c>
      <c r="I46" s="11" t="s">
        <v>40</v>
      </c>
      <c r="J46" s="11" t="s">
        <v>13</v>
      </c>
      <c r="K46" s="11" t="s">
        <v>30</v>
      </c>
      <c r="L46" s="11"/>
      <c r="M46" s="11" t="s">
        <v>59</v>
      </c>
    </row>
    <row r="47" customFormat="false" ht="23.85" hidden="false" customHeight="false" outlineLevel="0" collapsed="false">
      <c r="A47" s="11" t="s">
        <v>238</v>
      </c>
      <c r="B47" s="11" t="s">
        <v>218</v>
      </c>
      <c r="C47" s="11" t="s">
        <v>239</v>
      </c>
      <c r="D47" s="11" t="s">
        <v>195</v>
      </c>
      <c r="E47" s="11" t="s">
        <v>240</v>
      </c>
      <c r="F47" s="11" t="s">
        <v>241</v>
      </c>
      <c r="G47" s="12" t="s">
        <v>21</v>
      </c>
      <c r="H47" s="11" t="s">
        <v>40</v>
      </c>
      <c r="I47" s="11" t="s">
        <v>40</v>
      </c>
      <c r="J47" s="11" t="s">
        <v>15</v>
      </c>
      <c r="K47" s="11" t="s">
        <v>30</v>
      </c>
      <c r="L47" s="11"/>
      <c r="M47" s="11" t="s">
        <v>59</v>
      </c>
    </row>
    <row r="48" customFormat="false" ht="35.05" hidden="false" customHeight="false" outlineLevel="0" collapsed="false">
      <c r="A48" s="11" t="s">
        <v>242</v>
      </c>
      <c r="B48" s="11" t="s">
        <v>218</v>
      </c>
      <c r="C48" s="11" t="s">
        <v>243</v>
      </c>
      <c r="D48" s="11" t="s">
        <v>244</v>
      </c>
      <c r="E48" s="11" t="s">
        <v>245</v>
      </c>
      <c r="F48" s="11" t="s">
        <v>197</v>
      </c>
      <c r="G48" s="13" t="s">
        <v>23</v>
      </c>
      <c r="H48" s="11" t="s">
        <v>137</v>
      </c>
      <c r="I48" s="11" t="s">
        <v>40</v>
      </c>
      <c r="J48" s="11" t="s">
        <v>15</v>
      </c>
      <c r="K48" s="11" t="s">
        <v>32</v>
      </c>
      <c r="L48" s="11" t="s">
        <v>246</v>
      </c>
      <c r="M48" s="11" t="s">
        <v>59</v>
      </c>
    </row>
    <row r="49" customFormat="false" ht="15" hidden="false" customHeight="false" outlineLevel="0" collapsed="false">
      <c r="A49" s="11" t="s">
        <v>247</v>
      </c>
      <c r="B49" s="11" t="s">
        <v>218</v>
      </c>
      <c r="C49" s="11" t="s">
        <v>248</v>
      </c>
      <c r="D49" s="11" t="s">
        <v>195</v>
      </c>
      <c r="E49" s="11" t="s">
        <v>249</v>
      </c>
      <c r="F49" s="11" t="s">
        <v>250</v>
      </c>
      <c r="G49" s="13" t="s">
        <v>23</v>
      </c>
      <c r="H49" s="11" t="s">
        <v>40</v>
      </c>
      <c r="I49" s="11" t="s">
        <v>40</v>
      </c>
      <c r="J49" s="11" t="s">
        <v>13</v>
      </c>
      <c r="K49" s="11" t="s">
        <v>32</v>
      </c>
      <c r="L49" s="11"/>
      <c r="M49" s="11" t="s">
        <v>59</v>
      </c>
    </row>
    <row r="50" customFormat="false" ht="23.85" hidden="false" customHeight="false" outlineLevel="0" collapsed="false">
      <c r="A50" s="11" t="s">
        <v>251</v>
      </c>
      <c r="B50" s="11" t="s">
        <v>218</v>
      </c>
      <c r="C50" s="11" t="s">
        <v>252</v>
      </c>
      <c r="D50" s="11" t="s">
        <v>195</v>
      </c>
      <c r="E50" s="11" t="s">
        <v>253</v>
      </c>
      <c r="F50" s="11" t="s">
        <v>254</v>
      </c>
      <c r="G50" s="12" t="s">
        <v>21</v>
      </c>
      <c r="H50" s="11" t="s">
        <v>40</v>
      </c>
      <c r="I50" s="11" t="s">
        <v>40</v>
      </c>
      <c r="J50" s="11" t="s">
        <v>13</v>
      </c>
      <c r="K50" s="11" t="s">
        <v>30</v>
      </c>
      <c r="L50" s="11"/>
      <c r="M50" s="11" t="s">
        <v>59</v>
      </c>
    </row>
    <row r="51" customFormat="false" ht="23.85" hidden="false" customHeight="false" outlineLevel="0" collapsed="false">
      <c r="A51" s="11" t="s">
        <v>255</v>
      </c>
      <c r="B51" s="11" t="s">
        <v>218</v>
      </c>
      <c r="C51" s="11" t="s">
        <v>256</v>
      </c>
      <c r="D51" s="11" t="s">
        <v>195</v>
      </c>
      <c r="E51" s="11" t="s">
        <v>257</v>
      </c>
      <c r="F51" s="11" t="s">
        <v>101</v>
      </c>
      <c r="G51" s="13" t="s">
        <v>23</v>
      </c>
      <c r="H51" s="11" t="s">
        <v>41</v>
      </c>
      <c r="I51" s="11" t="s">
        <v>41</v>
      </c>
      <c r="J51" s="11" t="s">
        <v>15</v>
      </c>
      <c r="K51" s="11" t="s">
        <v>30</v>
      </c>
      <c r="L51" s="11"/>
      <c r="M51" s="11" t="s">
        <v>59</v>
      </c>
    </row>
    <row r="52" customFormat="false" ht="15" hidden="false" customHeight="false" outlineLevel="0" collapsed="false">
      <c r="A52" s="11" t="s">
        <v>258</v>
      </c>
      <c r="B52" s="11" t="s">
        <v>218</v>
      </c>
      <c r="C52" s="11" t="s">
        <v>259</v>
      </c>
      <c r="D52" s="11" t="s">
        <v>195</v>
      </c>
      <c r="E52" s="11" t="s">
        <v>260</v>
      </c>
      <c r="F52" s="11" t="s">
        <v>180</v>
      </c>
      <c r="G52" s="14" t="s">
        <v>22</v>
      </c>
      <c r="H52" s="11" t="s">
        <v>41</v>
      </c>
      <c r="I52" s="11" t="s">
        <v>41</v>
      </c>
      <c r="J52" s="11" t="s">
        <v>13</v>
      </c>
      <c r="K52" s="11" t="s">
        <v>31</v>
      </c>
      <c r="L52" s="11"/>
      <c r="M52" s="11" t="s">
        <v>59</v>
      </c>
    </row>
    <row r="53" customFormat="false" ht="23.85" hidden="false" customHeight="false" outlineLevel="0" collapsed="false">
      <c r="A53" s="11" t="s">
        <v>261</v>
      </c>
      <c r="B53" s="11" t="s">
        <v>218</v>
      </c>
      <c r="C53" s="11" t="s">
        <v>262</v>
      </c>
      <c r="D53" s="11" t="s">
        <v>263</v>
      </c>
      <c r="E53" s="11" t="s">
        <v>264</v>
      </c>
      <c r="F53" s="11" t="s">
        <v>265</v>
      </c>
      <c r="G53" s="12" t="s">
        <v>21</v>
      </c>
      <c r="H53" s="11" t="s">
        <v>41</v>
      </c>
      <c r="I53" s="11" t="s">
        <v>41</v>
      </c>
      <c r="J53" s="11" t="s">
        <v>13</v>
      </c>
      <c r="K53" s="11" t="s">
        <v>32</v>
      </c>
      <c r="L53" s="11"/>
      <c r="M53" s="11" t="s">
        <v>59</v>
      </c>
    </row>
    <row r="54" customFormat="false" ht="23.85" hidden="false" customHeight="false" outlineLevel="0" collapsed="false">
      <c r="A54" s="11" t="s">
        <v>266</v>
      </c>
      <c r="B54" s="11" t="s">
        <v>267</v>
      </c>
      <c r="C54" s="11" t="s">
        <v>268</v>
      </c>
      <c r="D54" s="11" t="s">
        <v>269</v>
      </c>
      <c r="E54" s="11" t="s">
        <v>270</v>
      </c>
      <c r="F54" s="11" t="s">
        <v>265</v>
      </c>
      <c r="G54" s="12" t="s">
        <v>21</v>
      </c>
      <c r="H54" s="11" t="s">
        <v>41</v>
      </c>
      <c r="I54" s="11" t="s">
        <v>41</v>
      </c>
      <c r="J54" s="11" t="s">
        <v>13</v>
      </c>
      <c r="K54" s="11" t="s">
        <v>31</v>
      </c>
      <c r="L54" s="11"/>
      <c r="M54" s="11" t="s">
        <v>59</v>
      </c>
    </row>
    <row r="55" customFormat="false" ht="23.85" hidden="false" customHeight="false" outlineLevel="0" collapsed="false">
      <c r="A55" s="11" t="s">
        <v>271</v>
      </c>
      <c r="B55" s="11" t="s">
        <v>272</v>
      </c>
      <c r="C55" s="11" t="s">
        <v>273</v>
      </c>
      <c r="D55" s="11" t="s">
        <v>274</v>
      </c>
      <c r="E55" s="11" t="s">
        <v>275</v>
      </c>
      <c r="F55" s="11" t="s">
        <v>265</v>
      </c>
      <c r="G55" s="12" t="s">
        <v>21</v>
      </c>
      <c r="H55" s="11" t="s">
        <v>132</v>
      </c>
      <c r="I55" s="11" t="s">
        <v>40</v>
      </c>
      <c r="J55" s="11" t="s">
        <v>13</v>
      </c>
      <c r="K55" s="11" t="s">
        <v>31</v>
      </c>
      <c r="L55" s="11"/>
      <c r="M55" s="11" t="s">
        <v>59</v>
      </c>
    </row>
    <row r="56" customFormat="false" ht="15" hidden="false" customHeight="false" outlineLevel="0" collapsed="false">
      <c r="A56" s="11" t="s">
        <v>276</v>
      </c>
      <c r="B56" s="11" t="s">
        <v>277</v>
      </c>
      <c r="C56" s="11" t="s">
        <v>278</v>
      </c>
      <c r="D56" s="11" t="s">
        <v>279</v>
      </c>
      <c r="E56" s="11" t="s">
        <v>280</v>
      </c>
      <c r="F56" s="11" t="s">
        <v>21</v>
      </c>
      <c r="G56" s="12" t="s">
        <v>21</v>
      </c>
      <c r="H56" s="11" t="s">
        <v>42</v>
      </c>
      <c r="I56" s="11" t="s">
        <v>42</v>
      </c>
      <c r="J56" s="11" t="s">
        <v>13</v>
      </c>
      <c r="K56" s="11" t="s">
        <v>30</v>
      </c>
      <c r="L56" s="11"/>
      <c r="M56" s="11" t="s">
        <v>59</v>
      </c>
    </row>
    <row r="57" customFormat="false" ht="23.85" hidden="false" customHeight="false" outlineLevel="0" collapsed="false">
      <c r="A57" s="11" t="s">
        <v>281</v>
      </c>
      <c r="B57" s="11" t="s">
        <v>277</v>
      </c>
      <c r="C57" s="11" t="s">
        <v>282</v>
      </c>
      <c r="D57" s="11" t="s">
        <v>283</v>
      </c>
      <c r="E57" s="11" t="s">
        <v>284</v>
      </c>
      <c r="F57" s="11" t="s">
        <v>21</v>
      </c>
      <c r="G57" s="12" t="s">
        <v>21</v>
      </c>
      <c r="H57" s="11" t="s">
        <v>42</v>
      </c>
      <c r="I57" s="11" t="s">
        <v>42</v>
      </c>
      <c r="J57" s="11" t="s">
        <v>13</v>
      </c>
      <c r="K57" s="11" t="s">
        <v>30</v>
      </c>
      <c r="L57" s="11" t="s">
        <v>285</v>
      </c>
      <c r="M57" s="11" t="s">
        <v>59</v>
      </c>
    </row>
    <row r="58" customFormat="false" ht="15" hidden="false" customHeight="false" outlineLevel="0" collapsed="false">
      <c r="A58" s="11" t="s">
        <v>286</v>
      </c>
      <c r="B58" s="11" t="s">
        <v>277</v>
      </c>
      <c r="C58" s="11" t="s">
        <v>287</v>
      </c>
      <c r="D58" s="11" t="s">
        <v>279</v>
      </c>
      <c r="E58" s="11" t="s">
        <v>288</v>
      </c>
      <c r="F58" s="11" t="s">
        <v>21</v>
      </c>
      <c r="G58" s="12" t="s">
        <v>21</v>
      </c>
      <c r="H58" s="11" t="s">
        <v>42</v>
      </c>
      <c r="I58" s="11" t="s">
        <v>42</v>
      </c>
      <c r="J58" s="11" t="s">
        <v>13</v>
      </c>
      <c r="K58" s="11" t="s">
        <v>30</v>
      </c>
      <c r="L58" s="11"/>
      <c r="M58" s="11" t="s">
        <v>59</v>
      </c>
    </row>
    <row r="59" customFormat="false" ht="15" hidden="false" customHeight="false" outlineLevel="0" collapsed="false">
      <c r="A59" s="11" t="s">
        <v>289</v>
      </c>
      <c r="B59" s="11" t="s">
        <v>277</v>
      </c>
      <c r="C59" s="11" t="s">
        <v>290</v>
      </c>
      <c r="D59" s="11" t="s">
        <v>279</v>
      </c>
      <c r="E59" s="11" t="s">
        <v>291</v>
      </c>
      <c r="F59" s="11" t="s">
        <v>21</v>
      </c>
      <c r="G59" s="12" t="s">
        <v>21</v>
      </c>
      <c r="H59" s="11" t="s">
        <v>42</v>
      </c>
      <c r="I59" s="11" t="s">
        <v>42</v>
      </c>
      <c r="J59" s="11" t="s">
        <v>13</v>
      </c>
      <c r="K59" s="11" t="s">
        <v>30</v>
      </c>
      <c r="L59" s="11"/>
      <c r="M59" s="11" t="s">
        <v>59</v>
      </c>
    </row>
    <row r="60" customFormat="false" ht="15" hidden="false" customHeight="false" outlineLevel="0" collapsed="false">
      <c r="A60" s="11" t="s">
        <v>292</v>
      </c>
      <c r="B60" s="11" t="s">
        <v>277</v>
      </c>
      <c r="C60" s="11" t="s">
        <v>293</v>
      </c>
      <c r="D60" s="11" t="s">
        <v>283</v>
      </c>
      <c r="E60" s="11" t="s">
        <v>294</v>
      </c>
      <c r="F60" s="11" t="s">
        <v>295</v>
      </c>
      <c r="G60" s="13" t="s">
        <v>23</v>
      </c>
      <c r="H60" s="11" t="s">
        <v>42</v>
      </c>
      <c r="I60" s="11" t="s">
        <v>42</v>
      </c>
      <c r="J60" s="11" t="s">
        <v>13</v>
      </c>
      <c r="K60" s="11" t="s">
        <v>32</v>
      </c>
      <c r="L60" s="11" t="s">
        <v>296</v>
      </c>
      <c r="M60" s="11" t="s">
        <v>59</v>
      </c>
    </row>
    <row r="61" customFormat="false" ht="23.85" hidden="false" customHeight="false" outlineLevel="0" collapsed="false">
      <c r="A61" s="11" t="s">
        <v>297</v>
      </c>
      <c r="B61" s="11" t="s">
        <v>277</v>
      </c>
      <c r="C61" s="11" t="s">
        <v>298</v>
      </c>
      <c r="D61" s="11" t="s">
        <v>279</v>
      </c>
      <c r="E61" s="11" t="s">
        <v>299</v>
      </c>
      <c r="F61" s="11" t="s">
        <v>21</v>
      </c>
      <c r="G61" s="12" t="s">
        <v>21</v>
      </c>
      <c r="H61" s="11" t="s">
        <v>42</v>
      </c>
      <c r="I61" s="11" t="s">
        <v>42</v>
      </c>
      <c r="J61" s="11" t="s">
        <v>13</v>
      </c>
      <c r="K61" s="11" t="s">
        <v>30</v>
      </c>
      <c r="L61" s="11"/>
      <c r="M61" s="11" t="s">
        <v>59</v>
      </c>
    </row>
    <row r="62" customFormat="false" ht="15" hidden="false" customHeight="false" outlineLevel="0" collapsed="false">
      <c r="A62" s="11" t="s">
        <v>300</v>
      </c>
      <c r="B62" s="11" t="s">
        <v>277</v>
      </c>
      <c r="C62" s="11" t="s">
        <v>301</v>
      </c>
      <c r="D62" s="11" t="s">
        <v>279</v>
      </c>
      <c r="E62" s="11" t="s">
        <v>302</v>
      </c>
      <c r="F62" s="11" t="s">
        <v>22</v>
      </c>
      <c r="G62" s="14" t="s">
        <v>22</v>
      </c>
      <c r="H62" s="11" t="s">
        <v>42</v>
      </c>
      <c r="I62" s="11" t="s">
        <v>42</v>
      </c>
      <c r="J62" s="11" t="s">
        <v>13</v>
      </c>
      <c r="K62" s="11" t="s">
        <v>30</v>
      </c>
      <c r="L62" s="11"/>
      <c r="M62" s="11" t="s">
        <v>59</v>
      </c>
    </row>
    <row r="63" customFormat="false" ht="15" hidden="false" customHeight="false" outlineLevel="0" collapsed="false">
      <c r="A63" s="11" t="s">
        <v>303</v>
      </c>
      <c r="B63" s="11" t="s">
        <v>277</v>
      </c>
      <c r="C63" s="11" t="s">
        <v>304</v>
      </c>
      <c r="D63" s="11" t="s">
        <v>279</v>
      </c>
      <c r="E63" s="11" t="s">
        <v>305</v>
      </c>
      <c r="F63" s="11" t="s">
        <v>21</v>
      </c>
      <c r="G63" s="12" t="s">
        <v>21</v>
      </c>
      <c r="H63" s="11" t="s">
        <v>42</v>
      </c>
      <c r="I63" s="11" t="s">
        <v>42</v>
      </c>
      <c r="J63" s="11" t="s">
        <v>13</v>
      </c>
      <c r="K63" s="11" t="s">
        <v>30</v>
      </c>
      <c r="L63" s="11"/>
      <c r="M63" s="11" t="s">
        <v>59</v>
      </c>
    </row>
    <row r="64" customFormat="false" ht="15" hidden="false" customHeight="false" outlineLevel="0" collapsed="false">
      <c r="A64" s="11" t="s">
        <v>306</v>
      </c>
      <c r="B64" s="11" t="s">
        <v>277</v>
      </c>
      <c r="C64" s="11" t="s">
        <v>307</v>
      </c>
      <c r="D64" s="11" t="s">
        <v>279</v>
      </c>
      <c r="E64" s="11" t="s">
        <v>308</v>
      </c>
      <c r="F64" s="11" t="s">
        <v>21</v>
      </c>
      <c r="G64" s="12" t="s">
        <v>21</v>
      </c>
      <c r="H64" s="11" t="s">
        <v>42</v>
      </c>
      <c r="I64" s="11" t="s">
        <v>42</v>
      </c>
      <c r="J64" s="11" t="s">
        <v>13</v>
      </c>
      <c r="K64" s="11" t="s">
        <v>32</v>
      </c>
      <c r="L64" s="11"/>
      <c r="M64" s="11" t="s">
        <v>59</v>
      </c>
    </row>
    <row r="65" customFormat="false" ht="23.85" hidden="false" customHeight="false" outlineLevel="0" collapsed="false">
      <c r="A65" s="11" t="s">
        <v>309</v>
      </c>
      <c r="B65" s="11" t="s">
        <v>277</v>
      </c>
      <c r="C65" s="11" t="s">
        <v>310</v>
      </c>
      <c r="D65" s="11" t="s">
        <v>279</v>
      </c>
      <c r="E65" s="11" t="s">
        <v>311</v>
      </c>
      <c r="F65" s="11" t="s">
        <v>21</v>
      </c>
      <c r="G65" s="12" t="s">
        <v>21</v>
      </c>
      <c r="H65" s="11" t="s">
        <v>312</v>
      </c>
      <c r="I65" s="11" t="s">
        <v>42</v>
      </c>
      <c r="J65" s="11" t="s">
        <v>13</v>
      </c>
      <c r="K65" s="11" t="s">
        <v>30</v>
      </c>
      <c r="L65" s="11"/>
      <c r="M65" s="11" t="s">
        <v>59</v>
      </c>
    </row>
    <row r="66" customFormat="false" ht="15" hidden="false" customHeight="false" outlineLevel="0" collapsed="false">
      <c r="A66" s="11" t="s">
        <v>313</v>
      </c>
      <c r="B66" s="11" t="s">
        <v>277</v>
      </c>
      <c r="C66" s="11" t="s">
        <v>314</v>
      </c>
      <c r="D66" s="11" t="s">
        <v>283</v>
      </c>
      <c r="E66" s="11" t="s">
        <v>315</v>
      </c>
      <c r="F66" s="11" t="s">
        <v>21</v>
      </c>
      <c r="G66" s="12" t="s">
        <v>21</v>
      </c>
      <c r="H66" s="11" t="s">
        <v>42</v>
      </c>
      <c r="I66" s="11" t="s">
        <v>42</v>
      </c>
      <c r="J66" s="11" t="s">
        <v>13</v>
      </c>
      <c r="K66" s="11" t="s">
        <v>30</v>
      </c>
      <c r="L66" s="11"/>
      <c r="M66" s="11" t="s">
        <v>59</v>
      </c>
    </row>
    <row r="67" customFormat="false" ht="23.85" hidden="false" customHeight="false" outlineLevel="0" collapsed="false">
      <c r="A67" s="11" t="s">
        <v>316</v>
      </c>
      <c r="B67" s="11" t="s">
        <v>277</v>
      </c>
      <c r="C67" s="11" t="s">
        <v>317</v>
      </c>
      <c r="D67" s="11" t="s">
        <v>283</v>
      </c>
      <c r="E67" s="11" t="s">
        <v>318</v>
      </c>
      <c r="F67" s="11" t="s">
        <v>21</v>
      </c>
      <c r="G67" s="12" t="s">
        <v>21</v>
      </c>
      <c r="H67" s="11" t="s">
        <v>42</v>
      </c>
      <c r="I67" s="11" t="s">
        <v>42</v>
      </c>
      <c r="J67" s="11" t="s">
        <v>13</v>
      </c>
      <c r="K67" s="11" t="s">
        <v>30</v>
      </c>
      <c r="L67" s="11"/>
      <c r="M67" s="11" t="s">
        <v>59</v>
      </c>
    </row>
    <row r="68" customFormat="false" ht="15" hidden="false" customHeight="false" outlineLevel="0" collapsed="false">
      <c r="A68" s="11" t="s">
        <v>319</v>
      </c>
      <c r="B68" s="11" t="s">
        <v>277</v>
      </c>
      <c r="C68" s="11" t="s">
        <v>320</v>
      </c>
      <c r="D68" s="11" t="s">
        <v>279</v>
      </c>
      <c r="E68" s="11" t="s">
        <v>321</v>
      </c>
      <c r="F68" s="11" t="s">
        <v>250</v>
      </c>
      <c r="G68" s="13" t="s">
        <v>23</v>
      </c>
      <c r="H68" s="11" t="s">
        <v>42</v>
      </c>
      <c r="I68" s="11" t="s">
        <v>42</v>
      </c>
      <c r="J68" s="11" t="s">
        <v>15</v>
      </c>
      <c r="K68" s="11" t="s">
        <v>31</v>
      </c>
      <c r="L68" s="11"/>
      <c r="M68" s="11" t="s">
        <v>59</v>
      </c>
    </row>
    <row r="69" customFormat="false" ht="23.85" hidden="false" customHeight="false" outlineLevel="0" collapsed="false">
      <c r="A69" s="11" t="s">
        <v>322</v>
      </c>
      <c r="B69" s="11" t="s">
        <v>277</v>
      </c>
      <c r="C69" s="11" t="s">
        <v>323</v>
      </c>
      <c r="D69" s="11" t="s">
        <v>279</v>
      </c>
      <c r="E69" s="11" t="s">
        <v>324</v>
      </c>
      <c r="F69" s="11" t="s">
        <v>21</v>
      </c>
      <c r="G69" s="12" t="s">
        <v>21</v>
      </c>
      <c r="H69" s="11" t="s">
        <v>42</v>
      </c>
      <c r="I69" s="11" t="s">
        <v>42</v>
      </c>
      <c r="J69" s="11" t="s">
        <v>13</v>
      </c>
      <c r="K69" s="11" t="s">
        <v>30</v>
      </c>
      <c r="L69" s="11" t="s">
        <v>325</v>
      </c>
      <c r="M69" s="11" t="s">
        <v>59</v>
      </c>
    </row>
    <row r="70" customFormat="false" ht="23.85" hidden="false" customHeight="false" outlineLevel="0" collapsed="false">
      <c r="A70" s="11" t="s">
        <v>326</v>
      </c>
      <c r="B70" s="11" t="s">
        <v>327</v>
      </c>
      <c r="C70" s="11" t="s">
        <v>328</v>
      </c>
      <c r="D70" s="11" t="s">
        <v>212</v>
      </c>
      <c r="E70" s="11" t="s">
        <v>329</v>
      </c>
      <c r="F70" s="11" t="s">
        <v>21</v>
      </c>
      <c r="G70" s="12" t="s">
        <v>21</v>
      </c>
      <c r="H70" s="11" t="s">
        <v>43</v>
      </c>
      <c r="I70" s="11" t="s">
        <v>43</v>
      </c>
      <c r="J70" s="11" t="s">
        <v>15</v>
      </c>
      <c r="K70" s="11" t="s">
        <v>30</v>
      </c>
      <c r="L70" s="11"/>
      <c r="M70" s="11" t="s">
        <v>59</v>
      </c>
    </row>
    <row r="71" customFormat="false" ht="15" hidden="false" customHeight="false" outlineLevel="0" collapsed="false">
      <c r="A71" s="11" t="s">
        <v>330</v>
      </c>
      <c r="B71" s="11" t="s">
        <v>327</v>
      </c>
      <c r="C71" s="11" t="s">
        <v>331</v>
      </c>
      <c r="D71" s="11" t="s">
        <v>212</v>
      </c>
      <c r="E71" s="11" t="s">
        <v>332</v>
      </c>
      <c r="F71" s="11" t="s">
        <v>26</v>
      </c>
      <c r="G71" s="15" t="s">
        <v>26</v>
      </c>
      <c r="H71" s="11" t="s">
        <v>38</v>
      </c>
      <c r="I71" s="11" t="s">
        <v>38</v>
      </c>
      <c r="J71" s="11" t="s">
        <v>333</v>
      </c>
      <c r="K71" s="11" t="s">
        <v>32</v>
      </c>
      <c r="L71" s="11" t="s">
        <v>334</v>
      </c>
      <c r="M71" s="11" t="s">
        <v>59</v>
      </c>
    </row>
    <row r="72" customFormat="false" ht="46.25" hidden="false" customHeight="false" outlineLevel="0" collapsed="false">
      <c r="A72" s="11" t="s">
        <v>335</v>
      </c>
      <c r="B72" s="11" t="s">
        <v>327</v>
      </c>
      <c r="C72" s="11" t="s">
        <v>336</v>
      </c>
      <c r="D72" s="11" t="s">
        <v>212</v>
      </c>
      <c r="E72" s="11" t="s">
        <v>337</v>
      </c>
      <c r="F72" s="11" t="s">
        <v>24</v>
      </c>
      <c r="G72" s="16" t="s">
        <v>24</v>
      </c>
      <c r="H72" s="11" t="s">
        <v>43</v>
      </c>
      <c r="I72" s="11" t="s">
        <v>43</v>
      </c>
      <c r="J72" s="11" t="s">
        <v>15</v>
      </c>
      <c r="K72" s="11" t="s">
        <v>32</v>
      </c>
      <c r="L72" s="11" t="s">
        <v>338</v>
      </c>
      <c r="M72" s="11" t="s">
        <v>59</v>
      </c>
    </row>
    <row r="73" customFormat="false" ht="15" hidden="false" customHeight="false" outlineLevel="0" collapsed="false">
      <c r="A73" s="11" t="s">
        <v>339</v>
      </c>
      <c r="B73" s="11" t="s">
        <v>327</v>
      </c>
      <c r="C73" s="11" t="s">
        <v>340</v>
      </c>
      <c r="D73" s="11" t="s">
        <v>212</v>
      </c>
      <c r="E73" s="11" t="s">
        <v>341</v>
      </c>
      <c r="F73" s="11" t="s">
        <v>21</v>
      </c>
      <c r="G73" s="12" t="s">
        <v>21</v>
      </c>
      <c r="H73" s="11" t="s">
        <v>39</v>
      </c>
      <c r="I73" s="11" t="s">
        <v>39</v>
      </c>
      <c r="J73" s="11" t="s">
        <v>13</v>
      </c>
      <c r="K73" s="11" t="s">
        <v>30</v>
      </c>
      <c r="L73" s="11"/>
      <c r="M73" s="11" t="s">
        <v>59</v>
      </c>
    </row>
    <row r="74" customFormat="false" ht="46.25" hidden="false" customHeight="false" outlineLevel="0" collapsed="false">
      <c r="A74" s="11" t="s">
        <v>342</v>
      </c>
      <c r="B74" s="11" t="s">
        <v>343</v>
      </c>
      <c r="C74" s="11" t="s">
        <v>344</v>
      </c>
      <c r="D74" s="11" t="s">
        <v>345</v>
      </c>
      <c r="E74" s="11" t="s">
        <v>346</v>
      </c>
      <c r="F74" s="11" t="s">
        <v>22</v>
      </c>
      <c r="G74" s="14" t="s">
        <v>22</v>
      </c>
      <c r="H74" s="11" t="s">
        <v>347</v>
      </c>
      <c r="I74" s="11" t="s">
        <v>38</v>
      </c>
      <c r="J74" s="11" t="s">
        <v>13</v>
      </c>
      <c r="K74" s="11" t="s">
        <v>32</v>
      </c>
      <c r="L74" s="11"/>
      <c r="M74" s="11" t="s">
        <v>59</v>
      </c>
    </row>
    <row r="75" customFormat="false" ht="23.85" hidden="false" customHeight="false" outlineLevel="0" collapsed="false">
      <c r="A75" s="11" t="s">
        <v>348</v>
      </c>
      <c r="B75" s="11" t="s">
        <v>343</v>
      </c>
      <c r="C75" s="11" t="s">
        <v>349</v>
      </c>
      <c r="D75" s="11" t="s">
        <v>345</v>
      </c>
      <c r="E75" s="11" t="s">
        <v>350</v>
      </c>
      <c r="F75" s="11" t="s">
        <v>21</v>
      </c>
      <c r="G75" s="12" t="s">
        <v>21</v>
      </c>
      <c r="H75" s="11" t="s">
        <v>38</v>
      </c>
      <c r="I75" s="11" t="s">
        <v>38</v>
      </c>
      <c r="J75" s="11" t="s">
        <v>13</v>
      </c>
      <c r="K75" s="11" t="s">
        <v>351</v>
      </c>
      <c r="L75" s="11"/>
      <c r="M75" s="11" t="s">
        <v>59</v>
      </c>
    </row>
    <row r="76" customFormat="false" ht="23.85" hidden="false" customHeight="false" outlineLevel="0" collapsed="false">
      <c r="A76" s="11" t="s">
        <v>352</v>
      </c>
      <c r="B76" s="11" t="s">
        <v>353</v>
      </c>
      <c r="C76" s="11" t="s">
        <v>354</v>
      </c>
      <c r="D76" s="11" t="s">
        <v>345</v>
      </c>
      <c r="E76" s="11" t="s">
        <v>355</v>
      </c>
      <c r="F76" s="11" t="s">
        <v>22</v>
      </c>
      <c r="G76" s="14" t="s">
        <v>22</v>
      </c>
      <c r="H76" s="11" t="s">
        <v>356</v>
      </c>
      <c r="I76" s="11" t="s">
        <v>39</v>
      </c>
      <c r="J76" s="11" t="s">
        <v>13</v>
      </c>
      <c r="K76" s="11" t="s">
        <v>32</v>
      </c>
      <c r="L76" s="11"/>
      <c r="M76" s="11" t="s">
        <v>59</v>
      </c>
    </row>
    <row r="77" customFormat="false" ht="23.85" hidden="false" customHeight="false" outlineLevel="0" collapsed="false">
      <c r="A77" s="11" t="s">
        <v>357</v>
      </c>
      <c r="B77" s="11" t="s">
        <v>353</v>
      </c>
      <c r="C77" s="11" t="s">
        <v>358</v>
      </c>
      <c r="D77" s="11" t="s">
        <v>345</v>
      </c>
      <c r="E77" s="11" t="s">
        <v>359</v>
      </c>
      <c r="F77" s="11" t="s">
        <v>21</v>
      </c>
      <c r="G77" s="12" t="s">
        <v>21</v>
      </c>
      <c r="H77" s="11" t="s">
        <v>360</v>
      </c>
      <c r="I77" s="11" t="s">
        <v>360</v>
      </c>
      <c r="J77" s="11" t="s">
        <v>13</v>
      </c>
      <c r="K77" s="11" t="s">
        <v>30</v>
      </c>
      <c r="L77" s="11"/>
      <c r="M77" s="11" t="s">
        <v>59</v>
      </c>
    </row>
    <row r="78" customFormat="false" ht="46.25" hidden="false" customHeight="false" outlineLevel="0" collapsed="false">
      <c r="A78" s="11" t="s">
        <v>361</v>
      </c>
      <c r="B78" s="11" t="s">
        <v>353</v>
      </c>
      <c r="C78" s="11" t="s">
        <v>362</v>
      </c>
      <c r="D78" s="11" t="s">
        <v>345</v>
      </c>
      <c r="E78" s="11" t="s">
        <v>363</v>
      </c>
      <c r="F78" s="11" t="s">
        <v>364</v>
      </c>
      <c r="G78" s="14" t="s">
        <v>22</v>
      </c>
      <c r="H78" s="11" t="s">
        <v>365</v>
      </c>
      <c r="I78" s="11" t="s">
        <v>40</v>
      </c>
      <c r="J78" s="11" t="s">
        <v>15</v>
      </c>
      <c r="K78" s="11" t="s">
        <v>32</v>
      </c>
      <c r="L78" s="11" t="s">
        <v>366</v>
      </c>
      <c r="M78" s="11" t="s">
        <v>59</v>
      </c>
    </row>
    <row r="79" customFormat="false" ht="35.05" hidden="false" customHeight="false" outlineLevel="0" collapsed="false">
      <c r="A79" s="11" t="s">
        <v>367</v>
      </c>
      <c r="B79" s="11" t="s">
        <v>368</v>
      </c>
      <c r="C79" s="11" t="s">
        <v>369</v>
      </c>
      <c r="D79" s="11" t="s">
        <v>370</v>
      </c>
      <c r="E79" s="11" t="s">
        <v>371</v>
      </c>
      <c r="F79" s="11" t="s">
        <v>372</v>
      </c>
      <c r="G79" s="14" t="s">
        <v>22</v>
      </c>
      <c r="H79" s="11" t="s">
        <v>347</v>
      </c>
      <c r="I79" s="11" t="s">
        <v>38</v>
      </c>
      <c r="J79" s="11" t="s">
        <v>13</v>
      </c>
      <c r="K79" s="11" t="s">
        <v>32</v>
      </c>
      <c r="L79" s="11" t="s">
        <v>373</v>
      </c>
      <c r="M79" s="11" t="s">
        <v>59</v>
      </c>
    </row>
    <row r="80" customFormat="false" ht="35.05" hidden="false" customHeight="false" outlineLevel="0" collapsed="false">
      <c r="A80" s="11" t="s">
        <v>374</v>
      </c>
      <c r="B80" s="11" t="s">
        <v>375</v>
      </c>
      <c r="C80" s="11" t="s">
        <v>376</v>
      </c>
      <c r="D80" s="11" t="s">
        <v>377</v>
      </c>
      <c r="E80" s="11" t="s">
        <v>378</v>
      </c>
      <c r="F80" s="11" t="s">
        <v>379</v>
      </c>
      <c r="G80" s="17" t="s">
        <v>25</v>
      </c>
      <c r="H80" s="11" t="s">
        <v>38</v>
      </c>
      <c r="I80" s="11" t="s">
        <v>38</v>
      </c>
      <c r="J80" s="11" t="s">
        <v>333</v>
      </c>
      <c r="K80" s="11" t="s">
        <v>32</v>
      </c>
      <c r="L80" s="11" t="s">
        <v>380</v>
      </c>
      <c r="M80" s="11" t="s">
        <v>59</v>
      </c>
    </row>
    <row r="81" customFormat="false" ht="23.85" hidden="false" customHeight="false" outlineLevel="0" collapsed="false">
      <c r="A81" s="11" t="s">
        <v>381</v>
      </c>
      <c r="B81" s="11" t="s">
        <v>382</v>
      </c>
      <c r="C81" s="11" t="s">
        <v>383</v>
      </c>
      <c r="D81" s="11" t="s">
        <v>384</v>
      </c>
      <c r="E81" s="11" t="s">
        <v>385</v>
      </c>
      <c r="F81" s="11" t="s">
        <v>386</v>
      </c>
      <c r="G81" s="14" t="s">
        <v>22</v>
      </c>
      <c r="H81" s="11" t="s">
        <v>42</v>
      </c>
      <c r="I81" s="11" t="s">
        <v>42</v>
      </c>
      <c r="J81" s="11" t="s">
        <v>13</v>
      </c>
      <c r="K81" s="11" t="s">
        <v>32</v>
      </c>
      <c r="L81" s="11"/>
      <c r="M81" s="11" t="s">
        <v>59</v>
      </c>
    </row>
    <row r="82" customFormat="false" ht="23.85" hidden="false" customHeight="false" outlineLevel="0" collapsed="false">
      <c r="A82" s="11" t="s">
        <v>387</v>
      </c>
      <c r="B82" s="11" t="s">
        <v>382</v>
      </c>
      <c r="C82" s="11" t="s">
        <v>388</v>
      </c>
      <c r="D82" s="11" t="s">
        <v>384</v>
      </c>
      <c r="E82" s="11" t="s">
        <v>389</v>
      </c>
      <c r="F82" s="11" t="s">
        <v>22</v>
      </c>
      <c r="G82" s="14" t="s">
        <v>22</v>
      </c>
      <c r="H82" s="11" t="s">
        <v>42</v>
      </c>
      <c r="I82" s="11" t="s">
        <v>42</v>
      </c>
      <c r="J82" s="11" t="s">
        <v>13</v>
      </c>
      <c r="K82" s="11" t="s">
        <v>31</v>
      </c>
      <c r="L82" s="11"/>
      <c r="M82" s="11" t="s">
        <v>59</v>
      </c>
    </row>
    <row r="83" customFormat="false" ht="23.85" hidden="false" customHeight="false" outlineLevel="0" collapsed="false">
      <c r="A83" s="11" t="s">
        <v>390</v>
      </c>
      <c r="B83" s="11" t="s">
        <v>382</v>
      </c>
      <c r="C83" s="11" t="s">
        <v>391</v>
      </c>
      <c r="D83" s="11" t="s">
        <v>384</v>
      </c>
      <c r="E83" s="11" t="s">
        <v>392</v>
      </c>
      <c r="F83" s="11" t="s">
        <v>393</v>
      </c>
      <c r="G83" s="13" t="s">
        <v>23</v>
      </c>
      <c r="H83" s="11" t="s">
        <v>394</v>
      </c>
      <c r="I83" s="11" t="s">
        <v>40</v>
      </c>
      <c r="J83" s="11" t="s">
        <v>15</v>
      </c>
      <c r="K83" s="11" t="s">
        <v>32</v>
      </c>
      <c r="L83" s="11"/>
      <c r="M83" s="11" t="s">
        <v>59</v>
      </c>
    </row>
    <row r="84" customFormat="false" ht="23.85" hidden="false" customHeight="false" outlineLevel="0" collapsed="false">
      <c r="A84" s="11" t="s">
        <v>395</v>
      </c>
      <c r="B84" s="11" t="s">
        <v>382</v>
      </c>
      <c r="C84" s="11" t="s">
        <v>396</v>
      </c>
      <c r="D84" s="11" t="s">
        <v>384</v>
      </c>
      <c r="E84" s="11" t="s">
        <v>397</v>
      </c>
      <c r="F84" s="11" t="s">
        <v>398</v>
      </c>
      <c r="G84" s="12" t="s">
        <v>21</v>
      </c>
      <c r="H84" s="11" t="s">
        <v>399</v>
      </c>
      <c r="I84" s="11" t="s">
        <v>43</v>
      </c>
      <c r="J84" s="11" t="s">
        <v>13</v>
      </c>
      <c r="K84" s="11" t="s">
        <v>32</v>
      </c>
      <c r="L84" s="11"/>
      <c r="M84" s="11" t="s">
        <v>59</v>
      </c>
    </row>
    <row r="85" customFormat="false" ht="46.25" hidden="false" customHeight="false" outlineLevel="0" collapsed="false">
      <c r="A85" s="11" t="s">
        <v>400</v>
      </c>
      <c r="B85" s="11" t="s">
        <v>401</v>
      </c>
      <c r="C85" s="11" t="s">
        <v>402</v>
      </c>
      <c r="D85" s="11" t="s">
        <v>403</v>
      </c>
      <c r="E85" s="11" t="s">
        <v>404</v>
      </c>
      <c r="F85" s="11" t="s">
        <v>265</v>
      </c>
      <c r="G85" s="12" t="s">
        <v>21</v>
      </c>
      <c r="H85" s="11" t="s">
        <v>42</v>
      </c>
      <c r="I85" s="11" t="s">
        <v>42</v>
      </c>
      <c r="J85" s="11" t="s">
        <v>13</v>
      </c>
      <c r="K85" s="11" t="s">
        <v>30</v>
      </c>
      <c r="L85" s="11"/>
      <c r="M85" s="11" t="s">
        <v>59</v>
      </c>
    </row>
    <row r="86" customFormat="false" ht="23.85" hidden="false" customHeight="false" outlineLevel="0" collapsed="false">
      <c r="A86" s="11" t="s">
        <v>405</v>
      </c>
      <c r="B86" s="11" t="s">
        <v>401</v>
      </c>
      <c r="C86" s="11" t="s">
        <v>406</v>
      </c>
      <c r="D86" s="11" t="s">
        <v>403</v>
      </c>
      <c r="E86" s="11" t="s">
        <v>407</v>
      </c>
      <c r="F86" s="11" t="s">
        <v>408</v>
      </c>
      <c r="G86" s="13" t="s">
        <v>23</v>
      </c>
      <c r="H86" s="11" t="s">
        <v>42</v>
      </c>
      <c r="I86" s="11" t="s">
        <v>42</v>
      </c>
      <c r="J86" s="11" t="s">
        <v>13</v>
      </c>
      <c r="K86" s="11" t="s">
        <v>32</v>
      </c>
      <c r="L86" s="11" t="s">
        <v>409</v>
      </c>
      <c r="M86" s="11" t="s">
        <v>59</v>
      </c>
    </row>
    <row r="87" customFormat="false" ht="23.85" hidden="false" customHeight="false" outlineLevel="0" collapsed="false">
      <c r="A87" s="11" t="s">
        <v>410</v>
      </c>
      <c r="B87" s="11" t="s">
        <v>401</v>
      </c>
      <c r="C87" s="11" t="s">
        <v>411</v>
      </c>
      <c r="D87" s="11" t="s">
        <v>403</v>
      </c>
      <c r="E87" s="11" t="s">
        <v>412</v>
      </c>
      <c r="F87" s="11" t="s">
        <v>22</v>
      </c>
      <c r="G87" s="14" t="s">
        <v>22</v>
      </c>
      <c r="H87" s="11" t="s">
        <v>42</v>
      </c>
      <c r="I87" s="11" t="s">
        <v>42</v>
      </c>
      <c r="J87" s="11" t="s">
        <v>13</v>
      </c>
      <c r="K87" s="11" t="s">
        <v>31</v>
      </c>
      <c r="L87" s="11"/>
      <c r="M87" s="11" t="s">
        <v>59</v>
      </c>
    </row>
    <row r="88" customFormat="false" ht="23.85" hidden="false" customHeight="false" outlineLevel="0" collapsed="false">
      <c r="A88" s="11" t="s">
        <v>413</v>
      </c>
      <c r="B88" s="11" t="s">
        <v>401</v>
      </c>
      <c r="C88" s="11" t="s">
        <v>414</v>
      </c>
      <c r="D88" s="11" t="s">
        <v>403</v>
      </c>
      <c r="E88" s="11" t="s">
        <v>415</v>
      </c>
      <c r="F88" s="11" t="s">
        <v>265</v>
      </c>
      <c r="G88" s="12" t="s">
        <v>21</v>
      </c>
      <c r="H88" s="11" t="s">
        <v>42</v>
      </c>
      <c r="I88" s="11" t="s">
        <v>42</v>
      </c>
      <c r="J88" s="11" t="s">
        <v>13</v>
      </c>
      <c r="K88" s="11" t="s">
        <v>32</v>
      </c>
      <c r="L88" s="11"/>
      <c r="M88" s="11" t="s">
        <v>59</v>
      </c>
    </row>
    <row r="89" customFormat="false" ht="35.05" hidden="false" customHeight="false" outlineLevel="0" collapsed="false">
      <c r="A89" s="11" t="s">
        <v>416</v>
      </c>
      <c r="B89" s="11" t="s">
        <v>417</v>
      </c>
      <c r="C89" s="11" t="s">
        <v>418</v>
      </c>
      <c r="D89" s="11" t="s">
        <v>403</v>
      </c>
      <c r="E89" s="11" t="s">
        <v>419</v>
      </c>
      <c r="F89" s="11" t="s">
        <v>21</v>
      </c>
      <c r="G89" s="12" t="s">
        <v>21</v>
      </c>
      <c r="H89" s="11" t="s">
        <v>137</v>
      </c>
      <c r="I89" s="11" t="s">
        <v>40</v>
      </c>
      <c r="J89" s="11" t="s">
        <v>13</v>
      </c>
      <c r="K89" s="11" t="s">
        <v>30</v>
      </c>
      <c r="L89" s="11"/>
      <c r="M89" s="11" t="s">
        <v>59</v>
      </c>
    </row>
    <row r="90" customFormat="false" ht="23.85" hidden="false" customHeight="false" outlineLevel="0" collapsed="false">
      <c r="A90" s="11" t="s">
        <v>420</v>
      </c>
      <c r="B90" s="11" t="s">
        <v>417</v>
      </c>
      <c r="C90" s="11" t="s">
        <v>421</v>
      </c>
      <c r="D90" s="11" t="s">
        <v>403</v>
      </c>
      <c r="E90" s="11" t="s">
        <v>422</v>
      </c>
      <c r="F90" s="11" t="s">
        <v>423</v>
      </c>
      <c r="G90" s="13" t="s">
        <v>23</v>
      </c>
      <c r="H90" s="11" t="s">
        <v>424</v>
      </c>
      <c r="I90" s="11" t="s">
        <v>41</v>
      </c>
      <c r="J90" s="11" t="s">
        <v>15</v>
      </c>
      <c r="K90" s="11" t="s">
        <v>32</v>
      </c>
      <c r="L90" s="11" t="s">
        <v>425</v>
      </c>
      <c r="M90" s="11" t="s">
        <v>59</v>
      </c>
    </row>
    <row r="91" customFormat="false" ht="23.85" hidden="false" customHeight="false" outlineLevel="0" collapsed="false">
      <c r="A91" s="11" t="s">
        <v>426</v>
      </c>
      <c r="B91" s="11" t="s">
        <v>417</v>
      </c>
      <c r="C91" s="11" t="s">
        <v>427</v>
      </c>
      <c r="D91" s="11" t="s">
        <v>403</v>
      </c>
      <c r="E91" s="11" t="s">
        <v>428</v>
      </c>
      <c r="F91" s="11" t="s">
        <v>26</v>
      </c>
      <c r="G91" s="15" t="s">
        <v>26</v>
      </c>
      <c r="H91" s="11" t="s">
        <v>38</v>
      </c>
      <c r="I91" s="11" t="s">
        <v>38</v>
      </c>
      <c r="J91" s="11" t="s">
        <v>333</v>
      </c>
      <c r="K91" s="11" t="s">
        <v>32</v>
      </c>
      <c r="L91" s="11" t="s">
        <v>429</v>
      </c>
      <c r="M91" s="11" t="s">
        <v>59</v>
      </c>
    </row>
    <row r="92" customFormat="false" ht="23.85" hidden="false" customHeight="false" outlineLevel="0" collapsed="false">
      <c r="A92" s="11" t="s">
        <v>430</v>
      </c>
      <c r="B92" s="11" t="s">
        <v>431</v>
      </c>
      <c r="C92" s="11" t="s">
        <v>432</v>
      </c>
      <c r="D92" s="11" t="s">
        <v>433</v>
      </c>
      <c r="E92" s="11" t="s">
        <v>434</v>
      </c>
      <c r="F92" s="11" t="s">
        <v>21</v>
      </c>
      <c r="G92" s="12" t="s">
        <v>21</v>
      </c>
      <c r="H92" s="11" t="s">
        <v>42</v>
      </c>
      <c r="I92" s="11" t="s">
        <v>42</v>
      </c>
      <c r="J92" s="11" t="s">
        <v>13</v>
      </c>
      <c r="K92" s="11" t="s">
        <v>435</v>
      </c>
      <c r="L92" s="11"/>
      <c r="M92" s="11" t="s">
        <v>59</v>
      </c>
    </row>
    <row r="93" customFormat="false" ht="23.85" hidden="false" customHeight="false" outlineLevel="0" collapsed="false">
      <c r="A93" s="11" t="s">
        <v>436</v>
      </c>
      <c r="B93" s="11" t="s">
        <v>437</v>
      </c>
      <c r="C93" s="11" t="s">
        <v>438</v>
      </c>
      <c r="D93" s="11" t="s">
        <v>433</v>
      </c>
      <c r="E93" s="11" t="s">
        <v>439</v>
      </c>
      <c r="F93" s="11" t="s">
        <v>21</v>
      </c>
      <c r="G93" s="12" t="s">
        <v>21</v>
      </c>
      <c r="H93" s="11" t="s">
        <v>42</v>
      </c>
      <c r="I93" s="11" t="s">
        <v>42</v>
      </c>
      <c r="J93" s="11" t="s">
        <v>13</v>
      </c>
      <c r="K93" s="11" t="s">
        <v>435</v>
      </c>
      <c r="L93" s="11"/>
      <c r="M93" s="11" t="s">
        <v>59</v>
      </c>
    </row>
    <row r="94" customFormat="false" ht="23.85" hidden="false" customHeight="false" outlineLevel="0" collapsed="false">
      <c r="A94" s="11" t="s">
        <v>440</v>
      </c>
      <c r="B94" s="11" t="s">
        <v>441</v>
      </c>
      <c r="C94" s="11" t="s">
        <v>442</v>
      </c>
      <c r="D94" s="11" t="s">
        <v>433</v>
      </c>
      <c r="E94" s="11" t="s">
        <v>443</v>
      </c>
      <c r="F94" s="11" t="s">
        <v>21</v>
      </c>
      <c r="G94" s="12" t="s">
        <v>21</v>
      </c>
      <c r="H94" s="11" t="s">
        <v>42</v>
      </c>
      <c r="I94" s="11" t="s">
        <v>42</v>
      </c>
      <c r="J94" s="11" t="s">
        <v>13</v>
      </c>
      <c r="K94" s="11" t="s">
        <v>31</v>
      </c>
      <c r="L94" s="11"/>
      <c r="M94" s="11" t="s">
        <v>59</v>
      </c>
    </row>
    <row r="95" customFormat="false" ht="23.85" hidden="false" customHeight="false" outlineLevel="0" collapsed="false">
      <c r="A95" s="11" t="s">
        <v>444</v>
      </c>
      <c r="B95" s="11" t="s">
        <v>441</v>
      </c>
      <c r="C95" s="11" t="s">
        <v>445</v>
      </c>
      <c r="D95" s="11" t="s">
        <v>433</v>
      </c>
      <c r="E95" s="11" t="s">
        <v>446</v>
      </c>
      <c r="F95" s="11" t="s">
        <v>21</v>
      </c>
      <c r="G95" s="12" t="s">
        <v>21</v>
      </c>
      <c r="H95" s="11" t="s">
        <v>42</v>
      </c>
      <c r="I95" s="11" t="s">
        <v>42</v>
      </c>
      <c r="J95" s="11" t="s">
        <v>13</v>
      </c>
      <c r="K95" s="11" t="s">
        <v>30</v>
      </c>
      <c r="L95" s="11"/>
      <c r="M95" s="11" t="s">
        <v>59</v>
      </c>
    </row>
    <row r="96" customFormat="false" ht="23.85" hidden="false" customHeight="false" outlineLevel="0" collapsed="false">
      <c r="A96" s="11" t="s">
        <v>447</v>
      </c>
      <c r="B96" s="11" t="s">
        <v>448</v>
      </c>
      <c r="C96" s="11" t="s">
        <v>449</v>
      </c>
      <c r="D96" s="11" t="s">
        <v>433</v>
      </c>
      <c r="E96" s="11" t="s">
        <v>450</v>
      </c>
      <c r="F96" s="11" t="s">
        <v>451</v>
      </c>
      <c r="G96" s="12" t="s">
        <v>21</v>
      </c>
      <c r="H96" s="11" t="s">
        <v>43</v>
      </c>
      <c r="I96" s="11" t="s">
        <v>43</v>
      </c>
      <c r="J96" s="11" t="s">
        <v>15</v>
      </c>
      <c r="K96" s="11" t="s">
        <v>30</v>
      </c>
      <c r="L96" s="11"/>
      <c r="M96" s="11" t="s">
        <v>59</v>
      </c>
    </row>
    <row r="97" customFormat="false" ht="23.85" hidden="false" customHeight="false" outlineLevel="0" collapsed="false">
      <c r="A97" s="11" t="s">
        <v>452</v>
      </c>
      <c r="B97" s="11" t="s">
        <v>441</v>
      </c>
      <c r="C97" s="11" t="s">
        <v>453</v>
      </c>
      <c r="D97" s="11" t="s">
        <v>433</v>
      </c>
      <c r="E97" s="11" t="s">
        <v>454</v>
      </c>
      <c r="F97" s="11" t="s">
        <v>22</v>
      </c>
      <c r="G97" s="14" t="s">
        <v>22</v>
      </c>
      <c r="H97" s="11" t="s">
        <v>42</v>
      </c>
      <c r="I97" s="11" t="s">
        <v>42</v>
      </c>
      <c r="J97" s="11" t="s">
        <v>13</v>
      </c>
      <c r="K97" s="11" t="s">
        <v>32</v>
      </c>
      <c r="L97" s="11"/>
      <c r="M97" s="11" t="s">
        <v>59</v>
      </c>
    </row>
    <row r="98" customFormat="false" ht="23.85" hidden="false" customHeight="false" outlineLevel="0" collapsed="false">
      <c r="A98" s="11" t="s">
        <v>455</v>
      </c>
      <c r="B98" s="11" t="s">
        <v>441</v>
      </c>
      <c r="C98" s="11" t="s">
        <v>456</v>
      </c>
      <c r="D98" s="11" t="s">
        <v>433</v>
      </c>
      <c r="E98" s="11" t="s">
        <v>457</v>
      </c>
      <c r="F98" s="11" t="s">
        <v>21</v>
      </c>
      <c r="G98" s="12" t="s">
        <v>21</v>
      </c>
      <c r="H98" s="11" t="s">
        <v>43</v>
      </c>
      <c r="I98" s="11" t="s">
        <v>43</v>
      </c>
      <c r="J98" s="11" t="s">
        <v>13</v>
      </c>
      <c r="K98" s="11" t="s">
        <v>32</v>
      </c>
      <c r="L98" s="11"/>
      <c r="M98" s="11" t="s">
        <v>59</v>
      </c>
    </row>
  </sheetData>
  <autoFilter ref="A1:M98"/>
  <dataValidations count="1">
    <dataValidation allowBlank="true" errorStyle="stop" operator="between" showDropDown="false" showErrorMessage="false" showInputMessage="false" sqref="M2:M98" type="list">
      <formula1>"Proposed,Confirmed by MSCAST,Changed,Deferred,Out of scope"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18" t="s">
        <v>458</v>
      </c>
      <c r="B1" s="18" t="s">
        <v>459</v>
      </c>
      <c r="C1" s="18" t="s">
        <v>460</v>
      </c>
      <c r="D1" s="18" t="s">
        <v>461</v>
      </c>
      <c r="E1" s="18" t="s">
        <v>462</v>
      </c>
      <c r="F1" s="18" t="s">
        <v>463</v>
      </c>
      <c r="G1" s="18" t="s">
        <v>464</v>
      </c>
    </row>
    <row r="2" customFormat="false" ht="23.85" hidden="false" customHeight="false" outlineLevel="0" collapsed="false">
      <c r="A2" s="11" t="s">
        <v>465</v>
      </c>
      <c r="B2" s="11" t="s">
        <v>331</v>
      </c>
      <c r="C2" s="11" t="s">
        <v>466</v>
      </c>
      <c r="D2" s="11" t="s">
        <v>330</v>
      </c>
      <c r="E2" s="11" t="s">
        <v>38</v>
      </c>
      <c r="F2" s="19"/>
      <c r="G2" s="11"/>
    </row>
    <row r="3" customFormat="false" ht="23.85" hidden="false" customHeight="false" outlineLevel="0" collapsed="false">
      <c r="A3" s="11" t="s">
        <v>467</v>
      </c>
      <c r="B3" s="11" t="s">
        <v>468</v>
      </c>
      <c r="C3" s="11" t="s">
        <v>469</v>
      </c>
      <c r="D3" s="11" t="s">
        <v>470</v>
      </c>
      <c r="E3" s="11" t="s">
        <v>38</v>
      </c>
      <c r="F3" s="19"/>
      <c r="G3" s="11"/>
    </row>
    <row r="4" customFormat="false" ht="15" hidden="false" customHeight="false" outlineLevel="0" collapsed="false">
      <c r="A4" s="11" t="s">
        <v>471</v>
      </c>
      <c r="B4" s="11" t="s">
        <v>472</v>
      </c>
      <c r="C4" s="11" t="s">
        <v>473</v>
      </c>
      <c r="D4" s="11" t="s">
        <v>474</v>
      </c>
      <c r="E4" s="11" t="s">
        <v>38</v>
      </c>
      <c r="F4" s="19"/>
      <c r="G4" s="11"/>
    </row>
    <row r="5" customFormat="false" ht="23.85" hidden="false" customHeight="false" outlineLevel="0" collapsed="false">
      <c r="A5" s="11" t="s">
        <v>475</v>
      </c>
      <c r="B5" s="11" t="s">
        <v>476</v>
      </c>
      <c r="C5" s="11" t="s">
        <v>477</v>
      </c>
      <c r="D5" s="11" t="s">
        <v>478</v>
      </c>
      <c r="E5" s="11" t="s">
        <v>38</v>
      </c>
      <c r="F5" s="19"/>
      <c r="G5" s="11"/>
    </row>
    <row r="6" customFormat="false" ht="15" hidden="false" customHeight="false" outlineLevel="0" collapsed="false">
      <c r="A6" s="11" t="s">
        <v>479</v>
      </c>
      <c r="B6" s="11" t="s">
        <v>480</v>
      </c>
      <c r="C6" s="11" t="s">
        <v>481</v>
      </c>
      <c r="D6" s="11" t="s">
        <v>482</v>
      </c>
      <c r="E6" s="11" t="s">
        <v>38</v>
      </c>
      <c r="F6" s="19"/>
      <c r="G6" s="11"/>
    </row>
    <row r="7" customFormat="false" ht="23.85" hidden="false" customHeight="false" outlineLevel="0" collapsed="false">
      <c r="A7" s="11" t="s">
        <v>483</v>
      </c>
      <c r="B7" s="11" t="s">
        <v>484</v>
      </c>
      <c r="C7" s="11" t="s">
        <v>485</v>
      </c>
      <c r="D7" s="11" t="s">
        <v>335</v>
      </c>
      <c r="E7" s="11" t="s">
        <v>38</v>
      </c>
      <c r="F7" s="19"/>
      <c r="G7" s="11"/>
    </row>
    <row r="8" customFormat="false" ht="23.85" hidden="false" customHeight="false" outlineLevel="0" collapsed="false">
      <c r="A8" s="11" t="s">
        <v>486</v>
      </c>
      <c r="B8" s="11" t="s">
        <v>487</v>
      </c>
      <c r="C8" s="11" t="s">
        <v>488</v>
      </c>
      <c r="D8" s="11" t="s">
        <v>361</v>
      </c>
      <c r="E8" s="11" t="s">
        <v>38</v>
      </c>
      <c r="F8" s="19"/>
      <c r="G8" s="11"/>
    </row>
    <row r="9" customFormat="false" ht="23.85" hidden="false" customHeight="false" outlineLevel="0" collapsed="false">
      <c r="A9" s="11" t="s">
        <v>489</v>
      </c>
      <c r="B9" s="11" t="s">
        <v>490</v>
      </c>
      <c r="C9" s="11" t="s">
        <v>491</v>
      </c>
      <c r="D9" s="11" t="s">
        <v>405</v>
      </c>
      <c r="E9" s="11" t="s">
        <v>38</v>
      </c>
      <c r="F9" s="19"/>
      <c r="G9" s="11"/>
    </row>
    <row r="10" customFormat="false" ht="15" hidden="false" customHeight="false" outlineLevel="0" collapsed="false">
      <c r="A10" s="11" t="s">
        <v>492</v>
      </c>
      <c r="B10" s="11" t="s">
        <v>427</v>
      </c>
      <c r="C10" s="11" t="s">
        <v>493</v>
      </c>
      <c r="D10" s="11" t="s">
        <v>426</v>
      </c>
      <c r="E10" s="11" t="s">
        <v>38</v>
      </c>
      <c r="F10" s="19"/>
      <c r="G10" s="11"/>
    </row>
    <row r="11" customFormat="false" ht="23.85" hidden="false" customHeight="false" outlineLevel="0" collapsed="false">
      <c r="A11" s="11" t="s">
        <v>494</v>
      </c>
      <c r="B11" s="11" t="s">
        <v>495</v>
      </c>
      <c r="C11" s="11" t="s">
        <v>496</v>
      </c>
      <c r="D11" s="11" t="s">
        <v>497</v>
      </c>
      <c r="E11" s="11" t="s">
        <v>38</v>
      </c>
      <c r="F11" s="19"/>
      <c r="G11" s="11"/>
    </row>
    <row r="12" customFormat="false" ht="23.85" hidden="false" customHeight="false" outlineLevel="0" collapsed="false">
      <c r="A12" s="11" t="s">
        <v>498</v>
      </c>
      <c r="B12" s="11" t="s">
        <v>499</v>
      </c>
      <c r="C12" s="11" t="s">
        <v>500</v>
      </c>
      <c r="D12" s="11" t="s">
        <v>420</v>
      </c>
      <c r="E12" s="11" t="s">
        <v>38</v>
      </c>
      <c r="F12" s="19"/>
      <c r="G12" s="11"/>
    </row>
    <row r="13" customFormat="false" ht="15" hidden="false" customHeight="false" outlineLevel="0" collapsed="false">
      <c r="A13" s="11" t="s">
        <v>501</v>
      </c>
      <c r="B13" s="11" t="s">
        <v>502</v>
      </c>
      <c r="C13" s="11" t="s">
        <v>503</v>
      </c>
      <c r="D13" s="11" t="s">
        <v>504</v>
      </c>
      <c r="E13" s="11" t="s">
        <v>38</v>
      </c>
      <c r="F13" s="19"/>
      <c r="G13" s="11"/>
    </row>
    <row r="14" customFormat="false" ht="23.85" hidden="false" customHeight="false" outlineLevel="0" collapsed="false">
      <c r="A14" s="11" t="s">
        <v>505</v>
      </c>
      <c r="B14" s="11" t="s">
        <v>506</v>
      </c>
      <c r="C14" s="11" t="s">
        <v>507</v>
      </c>
      <c r="D14" s="11" t="s">
        <v>367</v>
      </c>
      <c r="E14" s="11" t="s">
        <v>38</v>
      </c>
      <c r="F14" s="19"/>
      <c r="G14" s="11"/>
    </row>
    <row r="15" customFormat="false" ht="15" hidden="false" customHeight="false" outlineLevel="0" collapsed="false">
      <c r="A15" s="11" t="s">
        <v>508</v>
      </c>
      <c r="B15" s="11" t="s">
        <v>509</v>
      </c>
      <c r="C15" s="11" t="s">
        <v>510</v>
      </c>
      <c r="D15" s="11" t="s">
        <v>98</v>
      </c>
      <c r="E15" s="11" t="s">
        <v>39</v>
      </c>
      <c r="F15" s="19"/>
      <c r="G15" s="11"/>
    </row>
    <row r="16" customFormat="false" ht="15" hidden="false" customHeight="false" outlineLevel="0" collapsed="false">
      <c r="A16" s="11" t="s">
        <v>511</v>
      </c>
      <c r="B16" s="11" t="s">
        <v>512</v>
      </c>
      <c r="C16" s="11" t="s">
        <v>513</v>
      </c>
      <c r="D16" s="11" t="s">
        <v>108</v>
      </c>
      <c r="E16" s="11" t="s">
        <v>39</v>
      </c>
      <c r="F16" s="19"/>
      <c r="G16" s="11"/>
    </row>
    <row r="17" customFormat="false" ht="15" hidden="false" customHeight="false" outlineLevel="0" collapsed="false">
      <c r="A17" s="11" t="s">
        <v>514</v>
      </c>
      <c r="B17" s="11" t="s">
        <v>515</v>
      </c>
      <c r="C17" s="11" t="s">
        <v>516</v>
      </c>
      <c r="D17" s="11" t="s">
        <v>316</v>
      </c>
      <c r="E17" s="11" t="s">
        <v>39</v>
      </c>
      <c r="F17" s="19"/>
      <c r="G17" s="11"/>
    </row>
    <row r="18" customFormat="false" ht="23.85" hidden="false" customHeight="false" outlineLevel="0" collapsed="false">
      <c r="A18" s="11" t="s">
        <v>517</v>
      </c>
      <c r="B18" s="11" t="s">
        <v>518</v>
      </c>
      <c r="C18" s="11" t="s">
        <v>519</v>
      </c>
      <c r="D18" s="11" t="s">
        <v>210</v>
      </c>
      <c r="E18" s="11" t="s">
        <v>38</v>
      </c>
      <c r="F18" s="19"/>
      <c r="G18" s="11"/>
    </row>
    <row r="19" customFormat="false" ht="23.85" hidden="false" customHeight="false" outlineLevel="0" collapsed="false">
      <c r="A19" s="11" t="s">
        <v>520</v>
      </c>
      <c r="B19" s="11" t="s">
        <v>521</v>
      </c>
      <c r="C19" s="11" t="s">
        <v>522</v>
      </c>
      <c r="D19" s="11" t="s">
        <v>523</v>
      </c>
      <c r="E19" s="11" t="s">
        <v>38</v>
      </c>
      <c r="F19" s="19"/>
      <c r="G19" s="11"/>
    </row>
    <row r="20" customFormat="false" ht="15" hidden="false" customHeight="false" outlineLevel="0" collapsed="false">
      <c r="A20" s="11" t="s">
        <v>524</v>
      </c>
      <c r="B20" s="11" t="s">
        <v>525</v>
      </c>
      <c r="C20" s="11" t="s">
        <v>526</v>
      </c>
      <c r="D20" s="11" t="s">
        <v>381</v>
      </c>
      <c r="E20" s="11" t="s">
        <v>42</v>
      </c>
      <c r="F20" s="19"/>
      <c r="G20" s="11"/>
    </row>
    <row r="22" customFormat="false" ht="15" hidden="false" customHeight="false" outlineLevel="0" collapsed="false">
      <c r="A22" s="5" t="s">
        <v>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5"/>
    <col collapsed="false" customWidth="true" hidden="false" outlineLevel="0" max="3" min="3" style="0" width="40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8" t="s">
        <v>458</v>
      </c>
      <c r="B1" s="18" t="s">
        <v>528</v>
      </c>
      <c r="C1" s="18" t="s">
        <v>529</v>
      </c>
      <c r="D1" s="18" t="s">
        <v>530</v>
      </c>
    </row>
    <row r="2" customFormat="false" ht="35.05" hidden="false" customHeight="false" outlineLevel="0" collapsed="false">
      <c r="A2" s="11" t="n">
        <v>1</v>
      </c>
      <c r="B2" s="11" t="s">
        <v>531</v>
      </c>
      <c r="C2" s="11" t="s">
        <v>198</v>
      </c>
      <c r="D2" s="11" t="s">
        <v>532</v>
      </c>
    </row>
    <row r="3" customFormat="false" ht="35.05" hidden="false" customHeight="false" outlineLevel="0" collapsed="false">
      <c r="A3" s="11" t="n">
        <v>2</v>
      </c>
      <c r="B3" s="11" t="s">
        <v>533</v>
      </c>
      <c r="C3" s="11" t="s">
        <v>534</v>
      </c>
      <c r="D3" s="11" t="s">
        <v>535</v>
      </c>
    </row>
    <row r="4" customFormat="false" ht="35.05" hidden="false" customHeight="false" outlineLevel="0" collapsed="false">
      <c r="A4" s="11" t="n">
        <v>3</v>
      </c>
      <c r="B4" s="11" t="s">
        <v>536</v>
      </c>
      <c r="C4" s="11" t="s">
        <v>537</v>
      </c>
      <c r="D4" s="11" t="s">
        <v>538</v>
      </c>
    </row>
    <row r="5" customFormat="false" ht="35.05" hidden="false" customHeight="false" outlineLevel="0" collapsed="false">
      <c r="A5" s="11" t="n">
        <v>4</v>
      </c>
      <c r="B5" s="11" t="s">
        <v>539</v>
      </c>
      <c r="C5" s="11" t="s">
        <v>540</v>
      </c>
      <c r="D5" s="11" t="s">
        <v>541</v>
      </c>
    </row>
    <row r="6" customFormat="false" ht="35.05" hidden="false" customHeight="false" outlineLevel="0" collapsed="false">
      <c r="A6" s="11" t="n">
        <v>5</v>
      </c>
      <c r="B6" s="11" t="s">
        <v>542</v>
      </c>
      <c r="C6" s="11" t="s">
        <v>543</v>
      </c>
      <c r="D6" s="11" t="s">
        <v>544</v>
      </c>
    </row>
    <row r="7" customFormat="false" ht="35.05" hidden="false" customHeight="false" outlineLevel="0" collapsed="false">
      <c r="A7" s="11" t="n">
        <v>6</v>
      </c>
      <c r="B7" s="11" t="s">
        <v>545</v>
      </c>
      <c r="C7" s="11" t="s">
        <v>546</v>
      </c>
      <c r="D7" s="11" t="s">
        <v>547</v>
      </c>
    </row>
    <row r="8" customFormat="false" ht="46.25" hidden="false" customHeight="false" outlineLevel="0" collapsed="false">
      <c r="A8" s="11" t="n">
        <v>7</v>
      </c>
      <c r="B8" s="11" t="s">
        <v>548</v>
      </c>
      <c r="C8" s="11" t="s">
        <v>367</v>
      </c>
      <c r="D8" s="11" t="s">
        <v>549</v>
      </c>
    </row>
    <row r="9" customFormat="false" ht="35.05" hidden="false" customHeight="false" outlineLevel="0" collapsed="false">
      <c r="A9" s="11" t="n">
        <v>8</v>
      </c>
      <c r="B9" s="11" t="s">
        <v>550</v>
      </c>
      <c r="C9" s="11" t="s">
        <v>390</v>
      </c>
      <c r="D9" s="11" t="s">
        <v>551</v>
      </c>
    </row>
    <row r="10" customFormat="false" ht="46.25" hidden="false" customHeight="false" outlineLevel="0" collapsed="false">
      <c r="A10" s="11" t="n">
        <v>9</v>
      </c>
      <c r="B10" s="11" t="s">
        <v>552</v>
      </c>
      <c r="C10" s="11" t="s">
        <v>553</v>
      </c>
      <c r="D10" s="11" t="s">
        <v>554</v>
      </c>
    </row>
    <row r="11" customFormat="false" ht="35.05" hidden="false" customHeight="false" outlineLevel="0" collapsed="false">
      <c r="A11" s="11" t="n">
        <v>10</v>
      </c>
      <c r="B11" s="11" t="s">
        <v>555</v>
      </c>
      <c r="C11" s="11" t="s">
        <v>335</v>
      </c>
      <c r="D11" s="11" t="s">
        <v>556</v>
      </c>
    </row>
    <row r="12" customFormat="false" ht="46.25" hidden="false" customHeight="false" outlineLevel="0" collapsed="false">
      <c r="A12" s="11" t="n">
        <v>11</v>
      </c>
      <c r="B12" s="11" t="s">
        <v>557</v>
      </c>
      <c r="C12" s="11" t="s">
        <v>361</v>
      </c>
      <c r="D12" s="11" t="s">
        <v>558</v>
      </c>
    </row>
    <row r="13" customFormat="false" ht="35.05" hidden="false" customHeight="false" outlineLevel="0" collapsed="false">
      <c r="A13" s="11" t="n">
        <v>12</v>
      </c>
      <c r="B13" s="11" t="s">
        <v>559</v>
      </c>
      <c r="C13" s="11" t="s">
        <v>420</v>
      </c>
      <c r="D13" s="11" t="s">
        <v>560</v>
      </c>
    </row>
    <row r="14" customFormat="false" ht="35.05" hidden="false" customHeight="false" outlineLevel="0" collapsed="false">
      <c r="A14" s="11" t="n">
        <v>13</v>
      </c>
      <c r="B14" s="11" t="s">
        <v>561</v>
      </c>
      <c r="C14" s="11" t="s">
        <v>562</v>
      </c>
      <c r="D14" s="11" t="s">
        <v>563</v>
      </c>
    </row>
    <row r="15" customFormat="false" ht="46.25" hidden="false" customHeight="false" outlineLevel="0" collapsed="false">
      <c r="A15" s="11" t="n">
        <v>14</v>
      </c>
      <c r="B15" s="11" t="s">
        <v>564</v>
      </c>
      <c r="C15" s="11" t="s">
        <v>497</v>
      </c>
      <c r="D15" s="11" t="s">
        <v>565</v>
      </c>
    </row>
    <row r="16" customFormat="false" ht="23.85" hidden="false" customHeight="false" outlineLevel="0" collapsed="false">
      <c r="A16" s="11" t="n">
        <v>15</v>
      </c>
      <c r="B16" s="11" t="s">
        <v>566</v>
      </c>
      <c r="C16" s="11" t="s">
        <v>210</v>
      </c>
      <c r="D16" s="11" t="s">
        <v>567</v>
      </c>
    </row>
    <row r="17" customFormat="false" ht="46.25" hidden="false" customHeight="false" outlineLevel="0" collapsed="false">
      <c r="A17" s="11" t="n">
        <v>16</v>
      </c>
      <c r="B17" s="11" t="s">
        <v>568</v>
      </c>
      <c r="C17" s="11" t="s">
        <v>360</v>
      </c>
      <c r="D17" s="11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2026-09-16T04:36:17Z</dcterms:created>
  <dc:creator>openpyxl</dc:creator>
  <dc:description/>
  <dc:language>en-US</dc:language>
  <cp:lastModifiedBy/>
  <dcterms:modified xsi:type="dcterms:W3CDTF">2026-09-16T04:36:18Z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